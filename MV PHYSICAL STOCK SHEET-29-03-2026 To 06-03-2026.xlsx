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inod\Documents\MV ACCOUNTS\"/>
    </mc:Choice>
  </mc:AlternateContent>
  <xr:revisionPtr revIDLastSave="0" documentId="13_ncr:1_{1E818BC8-0F90-49C1-8838-235AAA10B1F6}" xr6:coauthVersionLast="47" xr6:coauthVersionMax="47" xr10:uidLastSave="{00000000-0000-0000-0000-000000000000}"/>
  <bookViews>
    <workbookView xWindow="-108" yWindow="-108" windowWidth="23256" windowHeight="12456" tabRatio="685" xr2:uid="{00000000-000D-0000-FFFF-FFFF00000000}"/>
  </bookViews>
  <sheets>
    <sheet name="OPENING STOCK" sheetId="1" r:id="rId1"/>
    <sheet name="RECIEPTS" sheetId="2" r:id="rId2"/>
    <sheet name="TOTAL STOCK" sheetId="3" r:id="rId3"/>
    <sheet name="CLOSING STOCK" sheetId="4" r:id="rId4"/>
    <sheet name="SALES &amp; RATE" sheetId="5" r:id="rId5"/>
    <sheet name="EXPENDITURE" sheetId="6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5" i="3" l="1"/>
  <c r="C85" i="4"/>
  <c r="C85" i="5"/>
  <c r="D85" i="3"/>
  <c r="D85" i="4"/>
  <c r="D85" i="5"/>
  <c r="E85" i="3"/>
  <c r="E85" i="4"/>
  <c r="E85" i="5"/>
  <c r="F85" i="3"/>
  <c r="F85" i="4"/>
  <c r="F85" i="5"/>
  <c r="G85" i="3"/>
  <c r="G85" i="5"/>
  <c r="H85" i="3"/>
  <c r="H85" i="5"/>
  <c r="I85" i="3"/>
  <c r="I85" i="4"/>
  <c r="I85" i="5"/>
  <c r="J85" i="3"/>
  <c r="J85" i="4"/>
  <c r="J85" i="5"/>
  <c r="M85" i="5"/>
  <c r="C10" i="3"/>
  <c r="C10" i="4"/>
  <c r="C10" i="5"/>
  <c r="D10" i="3"/>
  <c r="D10" i="4"/>
  <c r="D10" i="5"/>
  <c r="E10" i="3"/>
  <c r="E10" i="4"/>
  <c r="E10" i="5"/>
  <c r="F10" i="3"/>
  <c r="F10" i="4"/>
  <c r="F10" i="5"/>
  <c r="G10" i="3"/>
  <c r="G10" i="5"/>
  <c r="H10" i="3"/>
  <c r="H10" i="5"/>
  <c r="I10" i="3"/>
  <c r="I10" i="5"/>
  <c r="J10" i="3"/>
  <c r="J10" i="5"/>
  <c r="K10" i="3"/>
  <c r="K10" i="4"/>
  <c r="K10" i="5"/>
  <c r="L10" i="3"/>
  <c r="L10" i="4"/>
  <c r="L10" i="5"/>
  <c r="M10" i="5"/>
  <c r="C4" i="3"/>
  <c r="C4" i="4"/>
  <c r="C4" i="5"/>
  <c r="D4" i="3"/>
  <c r="D4" i="5"/>
  <c r="E4" i="3"/>
  <c r="E4" i="5"/>
  <c r="F4" i="3"/>
  <c r="F4" i="5"/>
  <c r="G4" i="3"/>
  <c r="G4" i="5"/>
  <c r="H4" i="3"/>
  <c r="H4" i="5"/>
  <c r="I4" i="3"/>
  <c r="I4" i="5"/>
  <c r="J4" i="3"/>
  <c r="J4" i="5"/>
  <c r="K4" i="3"/>
  <c r="K4" i="4"/>
  <c r="K4" i="5"/>
  <c r="L4" i="3"/>
  <c r="L4" i="4"/>
  <c r="L4" i="5"/>
  <c r="M4" i="5"/>
  <c r="C99" i="3"/>
  <c r="C99" i="4"/>
  <c r="C99" i="5"/>
  <c r="D99" i="3"/>
  <c r="D99" i="4"/>
  <c r="D99" i="5"/>
  <c r="E99" i="3"/>
  <c r="E99" i="4"/>
  <c r="E99" i="5"/>
  <c r="F99" i="3"/>
  <c r="F99" i="4"/>
  <c r="F99" i="5"/>
  <c r="G99" i="3"/>
  <c r="G99" i="5"/>
  <c r="H99" i="3"/>
  <c r="H99" i="5"/>
  <c r="I99" i="3"/>
  <c r="I99" i="5"/>
  <c r="J99" i="3"/>
  <c r="J99" i="5"/>
  <c r="M99" i="5"/>
  <c r="C9" i="3"/>
  <c r="C9" i="4"/>
  <c r="C9" i="5"/>
  <c r="D9" i="3"/>
  <c r="D9" i="4"/>
  <c r="D9" i="5"/>
  <c r="E9" i="3"/>
  <c r="E9" i="4"/>
  <c r="E9" i="5"/>
  <c r="F9" i="3"/>
  <c r="F9" i="4"/>
  <c r="F9" i="5"/>
  <c r="G9" i="3"/>
  <c r="G9" i="5"/>
  <c r="H9" i="3"/>
  <c r="H9" i="5"/>
  <c r="I9" i="3"/>
  <c r="I9" i="5"/>
  <c r="J9" i="3"/>
  <c r="J9" i="5"/>
  <c r="K9" i="3"/>
  <c r="K9" i="4"/>
  <c r="K9" i="5"/>
  <c r="L9" i="3"/>
  <c r="L9" i="4"/>
  <c r="L9" i="5"/>
  <c r="M9" i="5"/>
  <c r="M91" i="4"/>
  <c r="M97" i="4"/>
  <c r="C100" i="3"/>
  <c r="D100" i="3"/>
  <c r="D100" i="4"/>
  <c r="E100" i="3"/>
  <c r="F100" i="3"/>
  <c r="G100" i="3"/>
  <c r="H100" i="3"/>
  <c r="I100" i="3"/>
  <c r="I100" i="4"/>
  <c r="J100" i="3"/>
  <c r="J100" i="4"/>
  <c r="D98" i="3"/>
  <c r="D98" i="4"/>
  <c r="E98" i="3"/>
  <c r="E98" i="4"/>
  <c r="F98" i="3"/>
  <c r="F98" i="4"/>
  <c r="G98" i="3"/>
  <c r="H98" i="3"/>
  <c r="I98" i="3"/>
  <c r="J98" i="3"/>
  <c r="C98" i="3"/>
  <c r="C98" i="4"/>
  <c r="C76" i="3"/>
  <c r="D76" i="3"/>
  <c r="E76" i="3"/>
  <c r="F76" i="3"/>
  <c r="G76" i="3"/>
  <c r="H76" i="3"/>
  <c r="I76" i="3"/>
  <c r="J76" i="3"/>
  <c r="C77" i="3"/>
  <c r="D77" i="3"/>
  <c r="E77" i="3"/>
  <c r="E77" i="4"/>
  <c r="F77" i="3"/>
  <c r="F77" i="4"/>
  <c r="G77" i="3"/>
  <c r="G77" i="4"/>
  <c r="H77" i="3"/>
  <c r="H77" i="4"/>
  <c r="I77" i="3"/>
  <c r="I77" i="4"/>
  <c r="J77" i="3"/>
  <c r="J77" i="4"/>
  <c r="C78" i="3"/>
  <c r="D78" i="3"/>
  <c r="E78" i="3"/>
  <c r="E78" i="4"/>
  <c r="F78" i="3"/>
  <c r="G78" i="3"/>
  <c r="H78" i="3"/>
  <c r="I78" i="3"/>
  <c r="I78" i="4"/>
  <c r="J78" i="3"/>
  <c r="J78" i="4"/>
  <c r="C79" i="3"/>
  <c r="C79" i="4"/>
  <c r="D79" i="3"/>
  <c r="D79" i="4"/>
  <c r="E79" i="3"/>
  <c r="E79" i="4"/>
  <c r="F79" i="3"/>
  <c r="F79" i="4"/>
  <c r="G79" i="3"/>
  <c r="G79" i="4"/>
  <c r="H79" i="3"/>
  <c r="H79" i="4"/>
  <c r="I79" i="3"/>
  <c r="I79" i="4"/>
  <c r="J79" i="3"/>
  <c r="J79" i="4"/>
  <c r="C80" i="3"/>
  <c r="D80" i="3"/>
  <c r="E80" i="3"/>
  <c r="E80" i="4"/>
  <c r="F80" i="3"/>
  <c r="G80" i="3"/>
  <c r="G80" i="4"/>
  <c r="H80" i="3"/>
  <c r="H80" i="4"/>
  <c r="I80" i="3"/>
  <c r="I80" i="4"/>
  <c r="J80" i="3"/>
  <c r="J80" i="4"/>
  <c r="C81" i="3"/>
  <c r="D81" i="3"/>
  <c r="E81" i="3"/>
  <c r="E81" i="4"/>
  <c r="F81" i="3"/>
  <c r="G81" i="3"/>
  <c r="G81" i="4"/>
  <c r="H81" i="3"/>
  <c r="H81" i="4"/>
  <c r="I81" i="3"/>
  <c r="I81" i="4"/>
  <c r="J81" i="3"/>
  <c r="J81" i="4"/>
  <c r="C82" i="3"/>
  <c r="C82" i="4"/>
  <c r="D82" i="3"/>
  <c r="E82" i="3"/>
  <c r="E82" i="4"/>
  <c r="F82" i="3"/>
  <c r="F82" i="4"/>
  <c r="G82" i="3"/>
  <c r="G82" i="4"/>
  <c r="H82" i="3"/>
  <c r="H82" i="4"/>
  <c r="I82" i="3"/>
  <c r="I82" i="4"/>
  <c r="J82" i="3"/>
  <c r="J82" i="4"/>
  <c r="C83" i="3"/>
  <c r="D83" i="3"/>
  <c r="E83" i="3"/>
  <c r="F83" i="3"/>
  <c r="G83" i="3"/>
  <c r="H83" i="3"/>
  <c r="I83" i="3"/>
  <c r="I83" i="4"/>
  <c r="J83" i="3"/>
  <c r="J83" i="4"/>
  <c r="C84" i="3"/>
  <c r="D84" i="3"/>
  <c r="E84" i="3"/>
  <c r="E84" i="4"/>
  <c r="F84" i="3"/>
  <c r="G84" i="3"/>
  <c r="G84" i="4"/>
  <c r="H84" i="3"/>
  <c r="I84" i="3"/>
  <c r="I84" i="4"/>
  <c r="J84" i="3"/>
  <c r="J84" i="4"/>
  <c r="C86" i="3"/>
  <c r="C86" i="4"/>
  <c r="D86" i="3"/>
  <c r="D86" i="4"/>
  <c r="E86" i="3"/>
  <c r="E86" i="4"/>
  <c r="F86" i="3"/>
  <c r="F86" i="4"/>
  <c r="G86" i="3"/>
  <c r="G86" i="4"/>
  <c r="H86" i="3"/>
  <c r="I86" i="3"/>
  <c r="I86" i="4"/>
  <c r="J86" i="3"/>
  <c r="J86" i="4"/>
  <c r="C87" i="3"/>
  <c r="D87" i="3"/>
  <c r="E87" i="3"/>
  <c r="E87" i="4"/>
  <c r="F87" i="3"/>
  <c r="G87" i="3"/>
  <c r="G87" i="4"/>
  <c r="H87" i="3"/>
  <c r="H87" i="4"/>
  <c r="I87" i="3"/>
  <c r="I87" i="4"/>
  <c r="J87" i="3"/>
  <c r="J87" i="4"/>
  <c r="C88" i="3"/>
  <c r="C88" i="4"/>
  <c r="D88" i="3"/>
  <c r="D88" i="4"/>
  <c r="E88" i="3"/>
  <c r="E88" i="4"/>
  <c r="F88" i="3"/>
  <c r="F88" i="4"/>
  <c r="G88" i="3"/>
  <c r="G88" i="4"/>
  <c r="H88" i="3"/>
  <c r="H88" i="4"/>
  <c r="I88" i="3"/>
  <c r="I88" i="4"/>
  <c r="J88" i="3"/>
  <c r="J88" i="4"/>
  <c r="C89" i="3"/>
  <c r="D89" i="3"/>
  <c r="E89" i="3"/>
  <c r="F89" i="3"/>
  <c r="G89" i="3"/>
  <c r="G89" i="4"/>
  <c r="H89" i="3"/>
  <c r="H89" i="4"/>
  <c r="I89" i="3"/>
  <c r="I89" i="4"/>
  <c r="J89" i="3"/>
  <c r="J89" i="4"/>
  <c r="C90" i="3"/>
  <c r="D90" i="3"/>
  <c r="D90" i="4"/>
  <c r="E90" i="3"/>
  <c r="E90" i="4"/>
  <c r="F90" i="3"/>
  <c r="F90" i="4"/>
  <c r="G90" i="3"/>
  <c r="G90" i="4"/>
  <c r="H90" i="3"/>
  <c r="H90" i="4"/>
  <c r="I90" i="3"/>
  <c r="I90" i="4"/>
  <c r="J90" i="3"/>
  <c r="J90" i="4"/>
  <c r="C91" i="3"/>
  <c r="C91" i="4"/>
  <c r="D91" i="3"/>
  <c r="D91" i="4"/>
  <c r="E91" i="3"/>
  <c r="E91" i="4"/>
  <c r="F91" i="3"/>
  <c r="F91" i="4"/>
  <c r="G91" i="3"/>
  <c r="G91" i="4"/>
  <c r="H91" i="3"/>
  <c r="H91" i="4"/>
  <c r="I91" i="3"/>
  <c r="I91" i="4"/>
  <c r="J91" i="3"/>
  <c r="J91" i="4"/>
  <c r="C92" i="3"/>
  <c r="C92" i="4"/>
  <c r="D92" i="3"/>
  <c r="D92" i="4"/>
  <c r="E92" i="3"/>
  <c r="E92" i="4"/>
  <c r="F92" i="3"/>
  <c r="F92" i="4"/>
  <c r="G92" i="3"/>
  <c r="G92" i="4"/>
  <c r="H92" i="3"/>
  <c r="H92" i="4"/>
  <c r="I92" i="3"/>
  <c r="I92" i="4"/>
  <c r="J92" i="3"/>
  <c r="J92" i="4"/>
  <c r="C93" i="3"/>
  <c r="C93" i="4"/>
  <c r="D93" i="3"/>
  <c r="E93" i="3"/>
  <c r="E93" i="4"/>
  <c r="F93" i="3"/>
  <c r="F93" i="4"/>
  <c r="G93" i="3"/>
  <c r="G93" i="4"/>
  <c r="H93" i="3"/>
  <c r="H93" i="4"/>
  <c r="I93" i="3"/>
  <c r="I93" i="4"/>
  <c r="J93" i="3"/>
  <c r="J93" i="4"/>
  <c r="C94" i="3"/>
  <c r="C94" i="4"/>
  <c r="D94" i="3"/>
  <c r="D94" i="4"/>
  <c r="E94" i="3"/>
  <c r="E94" i="4"/>
  <c r="F94" i="3"/>
  <c r="F94" i="4"/>
  <c r="G94" i="3"/>
  <c r="G94" i="4"/>
  <c r="H94" i="3"/>
  <c r="H94" i="4"/>
  <c r="I94" i="3"/>
  <c r="I94" i="4"/>
  <c r="J94" i="3"/>
  <c r="J94" i="4"/>
  <c r="D75" i="3"/>
  <c r="E75" i="3"/>
  <c r="E75" i="4"/>
  <c r="F75" i="3"/>
  <c r="F75" i="4"/>
  <c r="G75" i="3"/>
  <c r="G75" i="4"/>
  <c r="H75" i="3"/>
  <c r="H75" i="4"/>
  <c r="I75" i="3"/>
  <c r="I75" i="4"/>
  <c r="J75" i="3"/>
  <c r="J75" i="4"/>
  <c r="C75" i="3"/>
  <c r="C55" i="3"/>
  <c r="C55" i="4"/>
  <c r="D55" i="3"/>
  <c r="D55" i="4"/>
  <c r="E55" i="3"/>
  <c r="E55" i="4"/>
  <c r="F55" i="3"/>
  <c r="F55" i="4"/>
  <c r="G55" i="3"/>
  <c r="G55" i="4"/>
  <c r="H55" i="3"/>
  <c r="I55" i="3"/>
  <c r="I55" i="4"/>
  <c r="J55" i="3"/>
  <c r="J55" i="4"/>
  <c r="K55" i="3"/>
  <c r="K55" i="4"/>
  <c r="L55" i="3"/>
  <c r="C56" i="3"/>
  <c r="C56" i="4"/>
  <c r="D56" i="3"/>
  <c r="D56" i="4"/>
  <c r="E56" i="3"/>
  <c r="E56" i="4"/>
  <c r="F56" i="3"/>
  <c r="F56" i="4"/>
  <c r="G56" i="3"/>
  <c r="G56" i="4"/>
  <c r="H56" i="3"/>
  <c r="H56" i="4"/>
  <c r="I56" i="3"/>
  <c r="I56" i="4"/>
  <c r="J56" i="3"/>
  <c r="J56" i="4"/>
  <c r="K56" i="3"/>
  <c r="K56" i="4"/>
  <c r="L56" i="3"/>
  <c r="L56" i="4"/>
  <c r="C57" i="3"/>
  <c r="C57" i="4"/>
  <c r="D57" i="3"/>
  <c r="D57" i="4"/>
  <c r="E57" i="3"/>
  <c r="E57" i="4"/>
  <c r="F57" i="3"/>
  <c r="F57" i="4"/>
  <c r="G57" i="3"/>
  <c r="H57" i="3"/>
  <c r="I57" i="3"/>
  <c r="J57" i="3"/>
  <c r="K57" i="3"/>
  <c r="K57" i="4"/>
  <c r="L57" i="3"/>
  <c r="L57" i="4"/>
  <c r="C58" i="3"/>
  <c r="C58" i="4"/>
  <c r="D58" i="3"/>
  <c r="D58" i="4"/>
  <c r="E58" i="3"/>
  <c r="E58" i="4"/>
  <c r="F58" i="3"/>
  <c r="F58" i="4"/>
  <c r="G58" i="3"/>
  <c r="G58" i="4"/>
  <c r="H58" i="3"/>
  <c r="I58" i="3"/>
  <c r="I58" i="4"/>
  <c r="J58" i="3"/>
  <c r="K58" i="3"/>
  <c r="K58" i="4"/>
  <c r="L58" i="3"/>
  <c r="L58" i="4"/>
  <c r="C59" i="3"/>
  <c r="C59" i="4"/>
  <c r="D59" i="3"/>
  <c r="D59" i="4"/>
  <c r="E59" i="3"/>
  <c r="E59" i="4"/>
  <c r="F59" i="3"/>
  <c r="F59" i="4"/>
  <c r="G59" i="3"/>
  <c r="G59" i="4"/>
  <c r="H59" i="3"/>
  <c r="I59" i="3"/>
  <c r="I59" i="4"/>
  <c r="J59" i="3"/>
  <c r="J59" i="4"/>
  <c r="K59" i="3"/>
  <c r="K59" i="4"/>
  <c r="L59" i="3"/>
  <c r="L59" i="4"/>
  <c r="C60" i="3"/>
  <c r="C60" i="4"/>
  <c r="D60" i="3"/>
  <c r="E60" i="3"/>
  <c r="E60" i="4"/>
  <c r="F60" i="3"/>
  <c r="G60" i="3"/>
  <c r="G60" i="4"/>
  <c r="H60" i="3"/>
  <c r="I60" i="3"/>
  <c r="I60" i="4"/>
  <c r="J60" i="3"/>
  <c r="J60" i="4"/>
  <c r="K60" i="3"/>
  <c r="K60" i="4"/>
  <c r="L60" i="3"/>
  <c r="L60" i="4"/>
  <c r="C61" i="3"/>
  <c r="C61" i="4"/>
  <c r="D61" i="3"/>
  <c r="E61" i="3"/>
  <c r="E61" i="4"/>
  <c r="F61" i="3"/>
  <c r="G61" i="3"/>
  <c r="G61" i="4"/>
  <c r="H61" i="3"/>
  <c r="I61" i="3"/>
  <c r="I61" i="4"/>
  <c r="J61" i="3"/>
  <c r="J61" i="4"/>
  <c r="K61" i="3"/>
  <c r="K61" i="4"/>
  <c r="L61" i="3"/>
  <c r="L61" i="4"/>
  <c r="C62" i="3"/>
  <c r="C62" i="4"/>
  <c r="D62" i="3"/>
  <c r="D62" i="4"/>
  <c r="E62" i="3"/>
  <c r="E62" i="4"/>
  <c r="F62" i="3"/>
  <c r="F62" i="4"/>
  <c r="G62" i="3"/>
  <c r="G62" i="4"/>
  <c r="H62" i="3"/>
  <c r="H62" i="4"/>
  <c r="I62" i="3"/>
  <c r="I62" i="4"/>
  <c r="J62" i="3"/>
  <c r="J62" i="4"/>
  <c r="K62" i="3"/>
  <c r="K62" i="4"/>
  <c r="L62" i="3"/>
  <c r="L62" i="4"/>
  <c r="C63" i="3"/>
  <c r="C63" i="4"/>
  <c r="D63" i="3"/>
  <c r="D63" i="4"/>
  <c r="E63" i="3"/>
  <c r="E63" i="4"/>
  <c r="F63" i="3"/>
  <c r="F63" i="4"/>
  <c r="G63" i="3"/>
  <c r="G63" i="4"/>
  <c r="H63" i="3"/>
  <c r="H63" i="4"/>
  <c r="I63" i="3"/>
  <c r="I63" i="4"/>
  <c r="J63" i="3"/>
  <c r="J63" i="4"/>
  <c r="K63" i="3"/>
  <c r="K63" i="4"/>
  <c r="L63" i="3"/>
  <c r="L63" i="4"/>
  <c r="C64" i="3"/>
  <c r="C64" i="4"/>
  <c r="D64" i="3"/>
  <c r="D64" i="4"/>
  <c r="E64" i="3"/>
  <c r="E64" i="4"/>
  <c r="F64" i="3"/>
  <c r="F64" i="4"/>
  <c r="G64" i="3"/>
  <c r="H64" i="3"/>
  <c r="I64" i="3"/>
  <c r="I64" i="4"/>
  <c r="J64" i="3"/>
  <c r="J64" i="4"/>
  <c r="K64" i="3"/>
  <c r="L64" i="3"/>
  <c r="C65" i="3"/>
  <c r="C65" i="4"/>
  <c r="D65" i="3"/>
  <c r="D65" i="4"/>
  <c r="E65" i="3"/>
  <c r="E65" i="4"/>
  <c r="F65" i="3"/>
  <c r="G65" i="3"/>
  <c r="G65" i="4"/>
  <c r="H65" i="3"/>
  <c r="H65" i="4"/>
  <c r="I65" i="3"/>
  <c r="I65" i="4"/>
  <c r="J65" i="3"/>
  <c r="J65" i="4"/>
  <c r="K65" i="3"/>
  <c r="K65" i="4"/>
  <c r="L65" i="3"/>
  <c r="L65" i="4"/>
  <c r="C66" i="3"/>
  <c r="C66" i="4"/>
  <c r="D66" i="3"/>
  <c r="D66" i="4"/>
  <c r="E66" i="3"/>
  <c r="E66" i="4"/>
  <c r="F66" i="3"/>
  <c r="F66" i="4"/>
  <c r="G66" i="3"/>
  <c r="G66" i="4"/>
  <c r="H66" i="3"/>
  <c r="H66" i="4"/>
  <c r="I66" i="3"/>
  <c r="I66" i="4"/>
  <c r="J66" i="3"/>
  <c r="J66" i="4"/>
  <c r="K66" i="3"/>
  <c r="K66" i="4"/>
  <c r="L66" i="3"/>
  <c r="L66" i="4"/>
  <c r="C67" i="3"/>
  <c r="C67" i="4"/>
  <c r="D67" i="3"/>
  <c r="D67" i="4"/>
  <c r="E67" i="3"/>
  <c r="E67" i="4"/>
  <c r="F67" i="3"/>
  <c r="F67" i="4"/>
  <c r="G67" i="3"/>
  <c r="H67" i="3"/>
  <c r="H67" i="4"/>
  <c r="I67" i="3"/>
  <c r="I67" i="4"/>
  <c r="J67" i="3"/>
  <c r="J67" i="4"/>
  <c r="K67" i="3"/>
  <c r="K67" i="4"/>
  <c r="L67" i="3"/>
  <c r="L67" i="4"/>
  <c r="C68" i="3"/>
  <c r="C68" i="4"/>
  <c r="D68" i="3"/>
  <c r="D68" i="4"/>
  <c r="E68" i="3"/>
  <c r="E68" i="4"/>
  <c r="F68" i="3"/>
  <c r="F68" i="4"/>
  <c r="G68" i="3"/>
  <c r="G68" i="4"/>
  <c r="H68" i="3"/>
  <c r="H68" i="4"/>
  <c r="I68" i="3"/>
  <c r="I68" i="4"/>
  <c r="J68" i="3"/>
  <c r="J68" i="4"/>
  <c r="K68" i="3"/>
  <c r="K68" i="4"/>
  <c r="L68" i="3"/>
  <c r="L68" i="4"/>
  <c r="C69" i="3"/>
  <c r="C69" i="4"/>
  <c r="D69" i="3"/>
  <c r="D69" i="4"/>
  <c r="E69" i="3"/>
  <c r="E69" i="4"/>
  <c r="F69" i="3"/>
  <c r="F69" i="4"/>
  <c r="G69" i="3"/>
  <c r="G69" i="4"/>
  <c r="H69" i="3"/>
  <c r="H69" i="4"/>
  <c r="I69" i="3"/>
  <c r="I69" i="4"/>
  <c r="J69" i="3"/>
  <c r="J69" i="4"/>
  <c r="K69" i="3"/>
  <c r="K69" i="4"/>
  <c r="L69" i="3"/>
  <c r="L69" i="4"/>
  <c r="C70" i="3"/>
  <c r="C70" i="4"/>
  <c r="D70" i="3"/>
  <c r="D70" i="4"/>
  <c r="E70" i="3"/>
  <c r="E70" i="4"/>
  <c r="F70" i="3"/>
  <c r="F70" i="4"/>
  <c r="G70" i="3"/>
  <c r="G70" i="4"/>
  <c r="H70" i="3"/>
  <c r="H70" i="4"/>
  <c r="I70" i="3"/>
  <c r="I70" i="4"/>
  <c r="J70" i="3"/>
  <c r="J70" i="4"/>
  <c r="K70" i="3"/>
  <c r="K70" i="4"/>
  <c r="L70" i="3"/>
  <c r="L70" i="4"/>
  <c r="C71" i="3"/>
  <c r="C71" i="4"/>
  <c r="D71" i="3"/>
  <c r="D71" i="4"/>
  <c r="E71" i="3"/>
  <c r="E71" i="4"/>
  <c r="F71" i="3"/>
  <c r="F71" i="4"/>
  <c r="G71" i="3"/>
  <c r="G71" i="4"/>
  <c r="H71" i="3"/>
  <c r="H71" i="4"/>
  <c r="I71" i="3"/>
  <c r="I71" i="4"/>
  <c r="J71" i="3"/>
  <c r="J71" i="4"/>
  <c r="K71" i="3"/>
  <c r="K71" i="4"/>
  <c r="L71" i="3"/>
  <c r="L71" i="4"/>
  <c r="D54" i="3"/>
  <c r="D54" i="4"/>
  <c r="E54" i="3"/>
  <c r="E54" i="4"/>
  <c r="F54" i="3"/>
  <c r="F54" i="4"/>
  <c r="G54" i="3"/>
  <c r="H54" i="3"/>
  <c r="I54" i="3"/>
  <c r="I54" i="4"/>
  <c r="J54" i="3"/>
  <c r="K54" i="3"/>
  <c r="K54" i="4"/>
  <c r="L54" i="3"/>
  <c r="L54" i="4"/>
  <c r="C54" i="3"/>
  <c r="C54" i="4"/>
  <c r="C5" i="3"/>
  <c r="C5" i="4"/>
  <c r="D5" i="3"/>
  <c r="E5" i="3"/>
  <c r="E5" i="4"/>
  <c r="F5" i="3"/>
  <c r="G5" i="3"/>
  <c r="H5" i="3"/>
  <c r="I5" i="3"/>
  <c r="J5" i="3"/>
  <c r="K5" i="3"/>
  <c r="K5" i="4"/>
  <c r="L5" i="3"/>
  <c r="L5" i="4"/>
  <c r="C6" i="3"/>
  <c r="C6" i="4"/>
  <c r="D6" i="3"/>
  <c r="D6" i="4"/>
  <c r="E6" i="3"/>
  <c r="E6" i="4"/>
  <c r="F6" i="3"/>
  <c r="F6" i="4"/>
  <c r="G6" i="3"/>
  <c r="H6" i="3"/>
  <c r="I6" i="3"/>
  <c r="J6" i="3"/>
  <c r="K6" i="3"/>
  <c r="K6" i="4"/>
  <c r="L6" i="3"/>
  <c r="L6" i="4"/>
  <c r="C7" i="3"/>
  <c r="C7" i="4"/>
  <c r="D7" i="3"/>
  <c r="D7" i="4"/>
  <c r="E7" i="3"/>
  <c r="E7" i="4"/>
  <c r="F7" i="3"/>
  <c r="F7" i="4"/>
  <c r="G7" i="3"/>
  <c r="G7" i="4"/>
  <c r="H7" i="3"/>
  <c r="I7" i="3"/>
  <c r="J7" i="3"/>
  <c r="K7" i="3"/>
  <c r="K7" i="4"/>
  <c r="L7" i="3"/>
  <c r="L7" i="4"/>
  <c r="C8" i="3"/>
  <c r="C8" i="4"/>
  <c r="D8" i="3"/>
  <c r="D8" i="4"/>
  <c r="E8" i="3"/>
  <c r="E8" i="4"/>
  <c r="F8" i="3"/>
  <c r="F8" i="4"/>
  <c r="G8" i="3"/>
  <c r="G8" i="4"/>
  <c r="H8" i="3"/>
  <c r="I8" i="3"/>
  <c r="I8" i="4"/>
  <c r="J8" i="3"/>
  <c r="K8" i="3"/>
  <c r="K8" i="4"/>
  <c r="L8" i="3"/>
  <c r="L8" i="4"/>
  <c r="C11" i="3"/>
  <c r="C11" i="4"/>
  <c r="D11" i="3"/>
  <c r="D11" i="4"/>
  <c r="E11" i="3"/>
  <c r="E11" i="4"/>
  <c r="F11" i="3"/>
  <c r="F11" i="4"/>
  <c r="G11" i="3"/>
  <c r="G11" i="4"/>
  <c r="H11" i="3"/>
  <c r="I11" i="3"/>
  <c r="I11" i="4"/>
  <c r="J11" i="3"/>
  <c r="J11" i="4"/>
  <c r="K11" i="3"/>
  <c r="K11" i="4"/>
  <c r="L11" i="3"/>
  <c r="C12" i="3"/>
  <c r="C12" i="4"/>
  <c r="D12" i="3"/>
  <c r="E12" i="3"/>
  <c r="E12" i="4"/>
  <c r="F12" i="3"/>
  <c r="G12" i="3"/>
  <c r="H12" i="3"/>
  <c r="I12" i="3"/>
  <c r="I12" i="4"/>
  <c r="J12" i="3"/>
  <c r="K12" i="3"/>
  <c r="K12" i="4"/>
  <c r="L12" i="3"/>
  <c r="L12" i="4"/>
  <c r="C13" i="3"/>
  <c r="C13" i="4"/>
  <c r="D13" i="3"/>
  <c r="D13" i="4"/>
  <c r="E13" i="3"/>
  <c r="E13" i="4"/>
  <c r="F13" i="3"/>
  <c r="G13" i="3"/>
  <c r="H13" i="3"/>
  <c r="I13" i="3"/>
  <c r="J13" i="3"/>
  <c r="K13" i="3"/>
  <c r="K13" i="4"/>
  <c r="L13" i="3"/>
  <c r="L13" i="4"/>
  <c r="C14" i="3"/>
  <c r="C14" i="4"/>
  <c r="D14" i="3"/>
  <c r="D14" i="4"/>
  <c r="E14" i="3"/>
  <c r="E14" i="4"/>
  <c r="F14" i="3"/>
  <c r="F14" i="4"/>
  <c r="G14" i="3"/>
  <c r="G14" i="4"/>
  <c r="H14" i="3"/>
  <c r="H14" i="4"/>
  <c r="I14" i="3"/>
  <c r="I14" i="4"/>
  <c r="J14" i="3"/>
  <c r="J14" i="4"/>
  <c r="K14" i="3"/>
  <c r="K14" i="4"/>
  <c r="L14" i="3"/>
  <c r="L14" i="4"/>
  <c r="C15" i="3"/>
  <c r="C15" i="4"/>
  <c r="D15" i="3"/>
  <c r="D15" i="4"/>
  <c r="E15" i="3"/>
  <c r="E15" i="4"/>
  <c r="F15" i="3"/>
  <c r="F15" i="4"/>
  <c r="G15" i="3"/>
  <c r="G15" i="4"/>
  <c r="H15" i="3"/>
  <c r="I15" i="3"/>
  <c r="I15" i="4"/>
  <c r="J15" i="3"/>
  <c r="K15" i="3"/>
  <c r="K15" i="4"/>
  <c r="L15" i="3"/>
  <c r="L15" i="4"/>
  <c r="C16" i="3"/>
  <c r="C16" i="4"/>
  <c r="D16" i="3"/>
  <c r="E16" i="3"/>
  <c r="E16" i="4"/>
  <c r="F16" i="3"/>
  <c r="G16" i="3"/>
  <c r="H16" i="3"/>
  <c r="I16" i="3"/>
  <c r="J16" i="3"/>
  <c r="K16" i="3"/>
  <c r="K16" i="4"/>
  <c r="L16" i="3"/>
  <c r="L16" i="4"/>
  <c r="C17" i="3"/>
  <c r="C17" i="4"/>
  <c r="D17" i="3"/>
  <c r="D17" i="4"/>
  <c r="E17" i="3"/>
  <c r="E17" i="4"/>
  <c r="F17" i="3"/>
  <c r="F17" i="4"/>
  <c r="G17" i="3"/>
  <c r="H17" i="3"/>
  <c r="I17" i="3"/>
  <c r="J17" i="3"/>
  <c r="K17" i="3"/>
  <c r="K17" i="4"/>
  <c r="L17" i="3"/>
  <c r="L17" i="4"/>
  <c r="C18" i="3"/>
  <c r="C18" i="4"/>
  <c r="D18" i="3"/>
  <c r="D18" i="4"/>
  <c r="E18" i="3"/>
  <c r="E18" i="4"/>
  <c r="F18" i="3"/>
  <c r="F18" i="4"/>
  <c r="G18" i="3"/>
  <c r="G18" i="4"/>
  <c r="H18" i="3"/>
  <c r="H18" i="4"/>
  <c r="I18" i="3"/>
  <c r="I18" i="4"/>
  <c r="J18" i="3"/>
  <c r="J18" i="4"/>
  <c r="K18" i="3"/>
  <c r="K18" i="4"/>
  <c r="L18" i="3"/>
  <c r="L18" i="4"/>
  <c r="C19" i="3"/>
  <c r="C19" i="4"/>
  <c r="D19" i="3"/>
  <c r="D19" i="4"/>
  <c r="E19" i="3"/>
  <c r="E19" i="4"/>
  <c r="F19" i="3"/>
  <c r="F19" i="4"/>
  <c r="G19" i="3"/>
  <c r="G19" i="4"/>
  <c r="H19" i="3"/>
  <c r="I19" i="3"/>
  <c r="I19" i="4"/>
  <c r="J19" i="3"/>
  <c r="J19" i="4"/>
  <c r="K19" i="3"/>
  <c r="K19" i="4"/>
  <c r="L19" i="3"/>
  <c r="C20" i="3"/>
  <c r="C20" i="4"/>
  <c r="D20" i="3"/>
  <c r="D20" i="4"/>
  <c r="E20" i="3"/>
  <c r="E20" i="4"/>
  <c r="F20" i="3"/>
  <c r="F20" i="4"/>
  <c r="G20" i="3"/>
  <c r="G20" i="4"/>
  <c r="H20" i="3"/>
  <c r="H20" i="4"/>
  <c r="I20" i="3"/>
  <c r="I20" i="4"/>
  <c r="J20" i="3"/>
  <c r="J20" i="4"/>
  <c r="K20" i="3"/>
  <c r="K20" i="4"/>
  <c r="L20" i="3"/>
  <c r="L20" i="4"/>
  <c r="C21" i="3"/>
  <c r="C21" i="4"/>
  <c r="D21" i="3"/>
  <c r="D21" i="4"/>
  <c r="E21" i="3"/>
  <c r="E21" i="4"/>
  <c r="F21" i="3"/>
  <c r="F21" i="4"/>
  <c r="G21" i="3"/>
  <c r="G21" i="4"/>
  <c r="H21" i="3"/>
  <c r="I21" i="3"/>
  <c r="J21" i="3"/>
  <c r="K21" i="3"/>
  <c r="K21" i="4"/>
  <c r="L21" i="3"/>
  <c r="L21" i="4"/>
  <c r="C22" i="3"/>
  <c r="C22" i="4"/>
  <c r="D22" i="3"/>
  <c r="D22" i="4"/>
  <c r="E22" i="3"/>
  <c r="E22" i="4"/>
  <c r="F22" i="3"/>
  <c r="F22" i="4"/>
  <c r="G22" i="3"/>
  <c r="G22" i="4"/>
  <c r="H22" i="3"/>
  <c r="H22" i="4"/>
  <c r="I22" i="3"/>
  <c r="I22" i="4"/>
  <c r="J22" i="3"/>
  <c r="J22" i="4"/>
  <c r="K22" i="3"/>
  <c r="K22" i="4"/>
  <c r="L22" i="3"/>
  <c r="L22" i="4"/>
  <c r="C23" i="3"/>
  <c r="C23" i="4"/>
  <c r="D23" i="3"/>
  <c r="E23" i="3"/>
  <c r="E23" i="4"/>
  <c r="F23" i="3"/>
  <c r="G23" i="3"/>
  <c r="H23" i="3"/>
  <c r="I23" i="3"/>
  <c r="I23" i="4"/>
  <c r="J23" i="3"/>
  <c r="K23" i="3"/>
  <c r="K23" i="4"/>
  <c r="L23" i="3"/>
  <c r="L23" i="4"/>
  <c r="C24" i="3"/>
  <c r="C24" i="4"/>
  <c r="D24" i="3"/>
  <c r="D24" i="4"/>
  <c r="E24" i="3"/>
  <c r="E24" i="4"/>
  <c r="F24" i="3"/>
  <c r="F24" i="4"/>
  <c r="G24" i="3"/>
  <c r="H24" i="3"/>
  <c r="I24" i="3"/>
  <c r="J24" i="3"/>
  <c r="K24" i="3"/>
  <c r="K24" i="4"/>
  <c r="L24" i="3"/>
  <c r="L24" i="4"/>
  <c r="C25" i="3"/>
  <c r="C25" i="4"/>
  <c r="D25" i="3"/>
  <c r="D25" i="4"/>
  <c r="E25" i="3"/>
  <c r="E25" i="4"/>
  <c r="F25" i="3"/>
  <c r="F25" i="4"/>
  <c r="G25" i="3"/>
  <c r="G25" i="4"/>
  <c r="H25" i="3"/>
  <c r="I25" i="3"/>
  <c r="I25" i="4"/>
  <c r="J25" i="3"/>
  <c r="J25" i="4"/>
  <c r="K25" i="3"/>
  <c r="K25" i="4"/>
  <c r="L25" i="3"/>
  <c r="L25" i="4"/>
  <c r="C26" i="3"/>
  <c r="C26" i="4"/>
  <c r="D26" i="3"/>
  <c r="D26" i="4"/>
  <c r="E26" i="3"/>
  <c r="E26" i="4"/>
  <c r="F26" i="3"/>
  <c r="F26" i="4"/>
  <c r="G26" i="3"/>
  <c r="H26" i="3"/>
  <c r="I26" i="3"/>
  <c r="J26" i="3"/>
  <c r="K26" i="3"/>
  <c r="K26" i="4"/>
  <c r="L26" i="3"/>
  <c r="L26" i="4"/>
  <c r="C27" i="3"/>
  <c r="C27" i="4"/>
  <c r="D27" i="3"/>
  <c r="E27" i="3"/>
  <c r="E27" i="4"/>
  <c r="F27" i="3"/>
  <c r="G27" i="3"/>
  <c r="H27" i="3"/>
  <c r="I27" i="3"/>
  <c r="J27" i="3"/>
  <c r="K27" i="3"/>
  <c r="K27" i="4"/>
  <c r="L27" i="3"/>
  <c r="L27" i="4"/>
  <c r="C28" i="3"/>
  <c r="C28" i="4"/>
  <c r="D28" i="3"/>
  <c r="D28" i="4"/>
  <c r="E28" i="3"/>
  <c r="E28" i="4"/>
  <c r="F28" i="3"/>
  <c r="F28" i="4"/>
  <c r="G28" i="3"/>
  <c r="G28" i="4"/>
  <c r="H28" i="3"/>
  <c r="H28" i="4"/>
  <c r="I28" i="3"/>
  <c r="I28" i="4"/>
  <c r="J28" i="3"/>
  <c r="J28" i="4"/>
  <c r="K28" i="3"/>
  <c r="K28" i="4"/>
  <c r="L28" i="3"/>
  <c r="L28" i="4"/>
  <c r="C29" i="3"/>
  <c r="C29" i="4"/>
  <c r="D29" i="3"/>
  <c r="D29" i="4"/>
  <c r="E29" i="3"/>
  <c r="E29" i="4"/>
  <c r="F29" i="3"/>
  <c r="F29" i="4"/>
  <c r="G29" i="3"/>
  <c r="G29" i="4"/>
  <c r="H29" i="3"/>
  <c r="I29" i="3"/>
  <c r="I29" i="4"/>
  <c r="J29" i="3"/>
  <c r="J29" i="4"/>
  <c r="K29" i="3"/>
  <c r="K29" i="4"/>
  <c r="L29" i="3"/>
  <c r="C30" i="3"/>
  <c r="C30" i="4"/>
  <c r="D30" i="3"/>
  <c r="D30" i="4"/>
  <c r="E30" i="3"/>
  <c r="E30" i="4"/>
  <c r="F30" i="3"/>
  <c r="F30" i="4"/>
  <c r="G30" i="3"/>
  <c r="G30" i="4"/>
  <c r="H30" i="3"/>
  <c r="H30" i="4"/>
  <c r="I30" i="3"/>
  <c r="I30" i="4"/>
  <c r="J30" i="3"/>
  <c r="J30" i="4"/>
  <c r="K30" i="3"/>
  <c r="K30" i="4"/>
  <c r="L30" i="3"/>
  <c r="L30" i="4"/>
  <c r="C31" i="3"/>
  <c r="C31" i="4"/>
  <c r="D31" i="3"/>
  <c r="D31" i="4"/>
  <c r="E31" i="3"/>
  <c r="E31" i="4"/>
  <c r="F31" i="3"/>
  <c r="F31" i="4"/>
  <c r="G31" i="3"/>
  <c r="G31" i="4"/>
  <c r="H31" i="3"/>
  <c r="H31" i="4"/>
  <c r="I31" i="3"/>
  <c r="I31" i="4"/>
  <c r="J31" i="3"/>
  <c r="J31" i="4"/>
  <c r="K31" i="3"/>
  <c r="K31" i="4"/>
  <c r="L31" i="3"/>
  <c r="L31" i="4"/>
  <c r="C32" i="3"/>
  <c r="C32" i="4"/>
  <c r="D32" i="3"/>
  <c r="D32" i="4"/>
  <c r="E32" i="3"/>
  <c r="E32" i="4"/>
  <c r="F32" i="3"/>
  <c r="F32" i="4"/>
  <c r="G32" i="3"/>
  <c r="G32" i="4"/>
  <c r="H32" i="3"/>
  <c r="H32" i="4"/>
  <c r="I32" i="3"/>
  <c r="I32" i="4"/>
  <c r="J32" i="3"/>
  <c r="J32" i="4"/>
  <c r="K32" i="3"/>
  <c r="K32" i="4"/>
  <c r="L32" i="3"/>
  <c r="L32" i="4"/>
  <c r="C33" i="3"/>
  <c r="C33" i="4"/>
  <c r="D33" i="3"/>
  <c r="D33" i="4"/>
  <c r="E33" i="3"/>
  <c r="E33" i="4"/>
  <c r="F33" i="3"/>
  <c r="F33" i="4"/>
  <c r="G33" i="3"/>
  <c r="G33" i="4"/>
  <c r="H33" i="3"/>
  <c r="H33" i="4"/>
  <c r="I33" i="3"/>
  <c r="I33" i="4"/>
  <c r="J33" i="3"/>
  <c r="J33" i="4"/>
  <c r="K33" i="3"/>
  <c r="K33" i="4"/>
  <c r="L33" i="3"/>
  <c r="L33" i="4"/>
  <c r="C34" i="3"/>
  <c r="C34" i="4"/>
  <c r="D34" i="3"/>
  <c r="D34" i="4"/>
  <c r="E34" i="3"/>
  <c r="E34" i="4"/>
  <c r="F34" i="3"/>
  <c r="F34" i="4"/>
  <c r="G34" i="3"/>
  <c r="G34" i="4"/>
  <c r="H34" i="3"/>
  <c r="H34" i="4"/>
  <c r="I34" i="3"/>
  <c r="I34" i="4"/>
  <c r="J34" i="3"/>
  <c r="J34" i="4"/>
  <c r="K34" i="3"/>
  <c r="K34" i="4"/>
  <c r="L34" i="3"/>
  <c r="L34" i="4"/>
  <c r="C35" i="3"/>
  <c r="C35" i="4"/>
  <c r="D35" i="3"/>
  <c r="D35" i="4"/>
  <c r="E35" i="3"/>
  <c r="E35" i="4"/>
  <c r="F35" i="3"/>
  <c r="G35" i="3"/>
  <c r="H35" i="3"/>
  <c r="H35" i="4"/>
  <c r="I35" i="3"/>
  <c r="I35" i="4"/>
  <c r="J35" i="3"/>
  <c r="J35" i="4"/>
  <c r="K35" i="3"/>
  <c r="K35" i="4"/>
  <c r="L35" i="3"/>
  <c r="L35" i="4"/>
  <c r="C36" i="3"/>
  <c r="C36" i="4"/>
  <c r="D36" i="3"/>
  <c r="D36" i="4"/>
  <c r="E36" i="3"/>
  <c r="E36" i="4"/>
  <c r="F36" i="3"/>
  <c r="F36" i="4"/>
  <c r="G36" i="3"/>
  <c r="G36" i="4"/>
  <c r="H36" i="3"/>
  <c r="H36" i="4"/>
  <c r="I36" i="3"/>
  <c r="I36" i="4"/>
  <c r="J36" i="3"/>
  <c r="J36" i="4"/>
  <c r="K36" i="3"/>
  <c r="K36" i="4"/>
  <c r="L36" i="3"/>
  <c r="L36" i="4"/>
  <c r="C37" i="3"/>
  <c r="C37" i="4"/>
  <c r="D37" i="3"/>
  <c r="E37" i="3"/>
  <c r="E37" i="4"/>
  <c r="F37" i="3"/>
  <c r="G37" i="3"/>
  <c r="H37" i="3"/>
  <c r="I37" i="3"/>
  <c r="J37" i="3"/>
  <c r="K37" i="3"/>
  <c r="K37" i="4"/>
  <c r="L37" i="3"/>
  <c r="L37" i="4"/>
  <c r="C38" i="3"/>
  <c r="C38" i="4"/>
  <c r="D38" i="3"/>
  <c r="D38" i="4"/>
  <c r="E38" i="3"/>
  <c r="E38" i="4"/>
  <c r="F38" i="3"/>
  <c r="F38" i="4"/>
  <c r="G38" i="3"/>
  <c r="H38" i="3"/>
  <c r="I38" i="3"/>
  <c r="J38" i="3"/>
  <c r="K38" i="3"/>
  <c r="K38" i="4"/>
  <c r="L38" i="3"/>
  <c r="L38" i="4"/>
  <c r="C39" i="3"/>
  <c r="C39" i="4"/>
  <c r="D39" i="3"/>
  <c r="D39" i="4"/>
  <c r="E39" i="3"/>
  <c r="E39" i="4"/>
  <c r="F39" i="3"/>
  <c r="F39" i="4"/>
  <c r="G39" i="3"/>
  <c r="G39" i="4"/>
  <c r="H39" i="3"/>
  <c r="H39" i="4"/>
  <c r="I39" i="3"/>
  <c r="I39" i="4"/>
  <c r="J39" i="3"/>
  <c r="J39" i="4"/>
  <c r="K39" i="3"/>
  <c r="K39" i="4"/>
  <c r="L39" i="3"/>
  <c r="L39" i="4"/>
  <c r="C40" i="3"/>
  <c r="C40" i="4"/>
  <c r="D40" i="3"/>
  <c r="D40" i="4"/>
  <c r="E40" i="3"/>
  <c r="E40" i="4"/>
  <c r="F40" i="3"/>
  <c r="F40" i="4"/>
  <c r="G40" i="3"/>
  <c r="H40" i="3"/>
  <c r="I40" i="3"/>
  <c r="I40" i="4"/>
  <c r="J40" i="3"/>
  <c r="K40" i="3"/>
  <c r="K40" i="4"/>
  <c r="L40" i="3"/>
  <c r="L40" i="4"/>
  <c r="C41" i="3"/>
  <c r="C41" i="4"/>
  <c r="D41" i="3"/>
  <c r="D41" i="4"/>
  <c r="E41" i="3"/>
  <c r="E41" i="4"/>
  <c r="F41" i="3"/>
  <c r="F41" i="4"/>
  <c r="G41" i="3"/>
  <c r="G41" i="4"/>
  <c r="H41" i="3"/>
  <c r="I41" i="3"/>
  <c r="I41" i="4"/>
  <c r="J41" i="3"/>
  <c r="J41" i="4"/>
  <c r="K41" i="3"/>
  <c r="K41" i="4"/>
  <c r="L41" i="3"/>
  <c r="C42" i="3"/>
  <c r="C42" i="4"/>
  <c r="D42" i="3"/>
  <c r="D42" i="4"/>
  <c r="E42" i="3"/>
  <c r="E42" i="4"/>
  <c r="F42" i="3"/>
  <c r="F42" i="4"/>
  <c r="G42" i="3"/>
  <c r="G42" i="4"/>
  <c r="H42" i="3"/>
  <c r="I42" i="3"/>
  <c r="I42" i="4"/>
  <c r="J42" i="3"/>
  <c r="J42" i="4"/>
  <c r="K42" i="3"/>
  <c r="K42" i="4"/>
  <c r="L42" i="3"/>
  <c r="L42" i="4"/>
  <c r="C43" i="3"/>
  <c r="C43" i="4"/>
  <c r="D43" i="3"/>
  <c r="D43" i="4"/>
  <c r="E43" i="3"/>
  <c r="E43" i="4"/>
  <c r="F43" i="3"/>
  <c r="F43" i="4"/>
  <c r="G43" i="3"/>
  <c r="G43" i="4"/>
  <c r="H43" i="3"/>
  <c r="I43" i="3"/>
  <c r="J43" i="3"/>
  <c r="K43" i="3"/>
  <c r="K43" i="4"/>
  <c r="L43" i="3"/>
  <c r="L43" i="4"/>
  <c r="C44" i="3"/>
  <c r="C44" i="4"/>
  <c r="D44" i="3"/>
  <c r="D44" i="4"/>
  <c r="E44" i="3"/>
  <c r="E44" i="4"/>
  <c r="F44" i="3"/>
  <c r="F44" i="4"/>
  <c r="G44" i="3"/>
  <c r="H44" i="3"/>
  <c r="I44" i="3"/>
  <c r="J44" i="3"/>
  <c r="K44" i="3"/>
  <c r="K44" i="4"/>
  <c r="L44" i="3"/>
  <c r="L44" i="4"/>
  <c r="C45" i="3"/>
  <c r="C45" i="4"/>
  <c r="D45" i="3"/>
  <c r="D45" i="4"/>
  <c r="E45" i="3"/>
  <c r="E45" i="4"/>
  <c r="F45" i="3"/>
  <c r="F45" i="4"/>
  <c r="G45" i="3"/>
  <c r="G45" i="4"/>
  <c r="H45" i="3"/>
  <c r="I45" i="3"/>
  <c r="I45" i="4"/>
  <c r="J45" i="3"/>
  <c r="J45" i="4"/>
  <c r="K45" i="3"/>
  <c r="K45" i="4"/>
  <c r="L45" i="3"/>
  <c r="C46" i="3"/>
  <c r="C46" i="4"/>
  <c r="D46" i="3"/>
  <c r="E46" i="3"/>
  <c r="E46" i="4"/>
  <c r="F46" i="3"/>
  <c r="F46" i="4"/>
  <c r="G46" i="3"/>
  <c r="G46" i="4"/>
  <c r="H46" i="3"/>
  <c r="I46" i="3"/>
  <c r="I46" i="4"/>
  <c r="J46" i="3"/>
  <c r="J46" i="4"/>
  <c r="K46" i="3"/>
  <c r="K46" i="4"/>
  <c r="L46" i="3"/>
  <c r="L46" i="4"/>
  <c r="C47" i="3"/>
  <c r="C47" i="4"/>
  <c r="D47" i="3"/>
  <c r="D47" i="4"/>
  <c r="E47" i="3"/>
  <c r="E47" i="4"/>
  <c r="F47" i="3"/>
  <c r="F47" i="4"/>
  <c r="G47" i="3"/>
  <c r="G47" i="4"/>
  <c r="H47" i="3"/>
  <c r="I47" i="3"/>
  <c r="I47" i="4"/>
  <c r="J47" i="3"/>
  <c r="K47" i="3"/>
  <c r="K47" i="4"/>
  <c r="L47" i="3"/>
  <c r="L47" i="4"/>
  <c r="C48" i="3"/>
  <c r="C48" i="4"/>
  <c r="D48" i="3"/>
  <c r="D48" i="4"/>
  <c r="E48" i="3"/>
  <c r="E48" i="4"/>
  <c r="F48" i="3"/>
  <c r="F48" i="4"/>
  <c r="G48" i="3"/>
  <c r="G48" i="4"/>
  <c r="H48" i="3"/>
  <c r="H48" i="4"/>
  <c r="I48" i="3"/>
  <c r="I48" i="4"/>
  <c r="J48" i="3"/>
  <c r="K48" i="3"/>
  <c r="K48" i="4"/>
  <c r="L48" i="3"/>
  <c r="L48" i="4"/>
  <c r="C49" i="3"/>
  <c r="C49" i="4"/>
  <c r="D49" i="3"/>
  <c r="D49" i="4"/>
  <c r="E49" i="3"/>
  <c r="E49" i="4"/>
  <c r="F49" i="3"/>
  <c r="F49" i="4"/>
  <c r="G49" i="3"/>
  <c r="G49" i="4"/>
  <c r="H49" i="3"/>
  <c r="H49" i="4"/>
  <c r="I49" i="3"/>
  <c r="I49" i="4"/>
  <c r="J49" i="3"/>
  <c r="J49" i="4"/>
  <c r="K49" i="3"/>
  <c r="K49" i="4"/>
  <c r="L49" i="3"/>
  <c r="L49" i="4"/>
  <c r="C50" i="3"/>
  <c r="C50" i="4"/>
  <c r="D50" i="3"/>
  <c r="D50" i="4"/>
  <c r="E50" i="3"/>
  <c r="E50" i="4"/>
  <c r="F50" i="3"/>
  <c r="F50" i="4"/>
  <c r="G50" i="3"/>
  <c r="G50" i="4"/>
  <c r="H50" i="3"/>
  <c r="H50" i="4"/>
  <c r="I50" i="3"/>
  <c r="I50" i="4"/>
  <c r="J50" i="3"/>
  <c r="J50" i="4"/>
  <c r="K50" i="3"/>
  <c r="K50" i="4"/>
  <c r="L50" i="3"/>
  <c r="L50" i="4"/>
  <c r="M99" i="4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C7" i="5"/>
  <c r="D7" i="5"/>
  <c r="E7" i="5"/>
  <c r="F7" i="5"/>
  <c r="G7" i="5"/>
  <c r="H7" i="5"/>
  <c r="I7" i="5"/>
  <c r="J7" i="5"/>
  <c r="K7" i="5"/>
  <c r="L7" i="5"/>
  <c r="M7" i="5"/>
  <c r="C8" i="5"/>
  <c r="D8" i="5"/>
  <c r="E8" i="5"/>
  <c r="F8" i="5"/>
  <c r="G8" i="5"/>
  <c r="H8" i="5"/>
  <c r="I8" i="5"/>
  <c r="J8" i="5"/>
  <c r="K8" i="5"/>
  <c r="L8" i="5"/>
  <c r="M8" i="5"/>
  <c r="C11" i="5"/>
  <c r="D11" i="5"/>
  <c r="E11" i="5"/>
  <c r="F11" i="5"/>
  <c r="G11" i="5"/>
  <c r="H11" i="5"/>
  <c r="I11" i="5"/>
  <c r="J11" i="5"/>
  <c r="K11" i="5"/>
  <c r="L11" i="5"/>
  <c r="M11" i="5"/>
  <c r="C12" i="5"/>
  <c r="D12" i="5"/>
  <c r="E12" i="5"/>
  <c r="F12" i="5"/>
  <c r="G12" i="5"/>
  <c r="H12" i="5"/>
  <c r="I12" i="5"/>
  <c r="J12" i="5"/>
  <c r="K12" i="5"/>
  <c r="L12" i="5"/>
  <c r="M12" i="5"/>
  <c r="C13" i="5"/>
  <c r="D13" i="5"/>
  <c r="E13" i="5"/>
  <c r="F13" i="5"/>
  <c r="G13" i="5"/>
  <c r="H13" i="5"/>
  <c r="I13" i="5"/>
  <c r="J13" i="5"/>
  <c r="K13" i="5"/>
  <c r="L13" i="5"/>
  <c r="M13" i="5"/>
  <c r="C14" i="5"/>
  <c r="D14" i="5"/>
  <c r="E14" i="5"/>
  <c r="F14" i="5"/>
  <c r="G14" i="5"/>
  <c r="H14" i="5"/>
  <c r="I14" i="5"/>
  <c r="J14" i="5"/>
  <c r="K14" i="5"/>
  <c r="L14" i="5"/>
  <c r="M14" i="5"/>
  <c r="C15" i="5"/>
  <c r="D15" i="5"/>
  <c r="E15" i="5"/>
  <c r="F15" i="5"/>
  <c r="G15" i="5"/>
  <c r="H15" i="5"/>
  <c r="I15" i="5"/>
  <c r="J15" i="5"/>
  <c r="K15" i="5"/>
  <c r="L15" i="5"/>
  <c r="M15" i="5"/>
  <c r="C16" i="5"/>
  <c r="D16" i="5"/>
  <c r="E16" i="5"/>
  <c r="F16" i="5"/>
  <c r="G16" i="5"/>
  <c r="H16" i="5"/>
  <c r="I16" i="5"/>
  <c r="J16" i="5"/>
  <c r="K16" i="5"/>
  <c r="L16" i="5"/>
  <c r="M16" i="5"/>
  <c r="C17" i="5"/>
  <c r="D17" i="5"/>
  <c r="E17" i="5"/>
  <c r="F17" i="5"/>
  <c r="G17" i="5"/>
  <c r="H17" i="5"/>
  <c r="I17" i="5"/>
  <c r="J17" i="5"/>
  <c r="K17" i="5"/>
  <c r="L17" i="5"/>
  <c r="M17" i="5"/>
  <c r="C18" i="5"/>
  <c r="D18" i="5"/>
  <c r="E18" i="5"/>
  <c r="F18" i="5"/>
  <c r="G18" i="5"/>
  <c r="H18" i="5"/>
  <c r="I18" i="5"/>
  <c r="J18" i="5"/>
  <c r="K18" i="5"/>
  <c r="L18" i="5"/>
  <c r="M18" i="5"/>
  <c r="C19" i="5"/>
  <c r="D19" i="5"/>
  <c r="E19" i="5"/>
  <c r="F19" i="5"/>
  <c r="G19" i="5"/>
  <c r="H19" i="5"/>
  <c r="I19" i="5"/>
  <c r="J19" i="5"/>
  <c r="K19" i="5"/>
  <c r="L19" i="5"/>
  <c r="M19" i="5"/>
  <c r="C20" i="5"/>
  <c r="D20" i="5"/>
  <c r="E20" i="5"/>
  <c r="F20" i="5"/>
  <c r="G20" i="5"/>
  <c r="H20" i="5"/>
  <c r="I20" i="5"/>
  <c r="J20" i="5"/>
  <c r="K20" i="5"/>
  <c r="L20" i="5"/>
  <c r="M20" i="5"/>
  <c r="C21" i="5"/>
  <c r="D21" i="5"/>
  <c r="E21" i="5"/>
  <c r="F21" i="5"/>
  <c r="G21" i="5"/>
  <c r="H21" i="5"/>
  <c r="I21" i="5"/>
  <c r="J21" i="5"/>
  <c r="K21" i="5"/>
  <c r="L21" i="5"/>
  <c r="M21" i="5"/>
  <c r="C22" i="5"/>
  <c r="D22" i="5"/>
  <c r="E22" i="5"/>
  <c r="F22" i="5"/>
  <c r="G22" i="5"/>
  <c r="H22" i="5"/>
  <c r="I22" i="5"/>
  <c r="J22" i="5"/>
  <c r="K22" i="5"/>
  <c r="L22" i="5"/>
  <c r="M22" i="5"/>
  <c r="C23" i="5"/>
  <c r="D23" i="5"/>
  <c r="E23" i="5"/>
  <c r="F23" i="5"/>
  <c r="G23" i="5"/>
  <c r="H23" i="5"/>
  <c r="I23" i="5"/>
  <c r="J23" i="5"/>
  <c r="K23" i="5"/>
  <c r="L23" i="5"/>
  <c r="M23" i="5"/>
  <c r="C24" i="5"/>
  <c r="D24" i="5"/>
  <c r="E24" i="5"/>
  <c r="F24" i="5"/>
  <c r="G24" i="5"/>
  <c r="H24" i="5"/>
  <c r="I24" i="5"/>
  <c r="J24" i="5"/>
  <c r="K24" i="5"/>
  <c r="L24" i="5"/>
  <c r="M24" i="5"/>
  <c r="C25" i="5"/>
  <c r="D25" i="5"/>
  <c r="E25" i="5"/>
  <c r="F25" i="5"/>
  <c r="G25" i="5"/>
  <c r="H25" i="5"/>
  <c r="I25" i="5"/>
  <c r="J25" i="5"/>
  <c r="K25" i="5"/>
  <c r="L25" i="5"/>
  <c r="M25" i="5"/>
  <c r="C26" i="5"/>
  <c r="D26" i="5"/>
  <c r="E26" i="5"/>
  <c r="F26" i="5"/>
  <c r="G26" i="5"/>
  <c r="H26" i="5"/>
  <c r="I26" i="5"/>
  <c r="J26" i="5"/>
  <c r="K26" i="5"/>
  <c r="L26" i="5"/>
  <c r="M26" i="5"/>
  <c r="C27" i="5"/>
  <c r="D27" i="5"/>
  <c r="E27" i="5"/>
  <c r="F27" i="5"/>
  <c r="G27" i="5"/>
  <c r="H27" i="5"/>
  <c r="I27" i="5"/>
  <c r="J27" i="5"/>
  <c r="K27" i="5"/>
  <c r="L27" i="5"/>
  <c r="M27" i="5"/>
  <c r="C28" i="5"/>
  <c r="D28" i="5"/>
  <c r="E28" i="5"/>
  <c r="F28" i="5"/>
  <c r="G28" i="5"/>
  <c r="H28" i="5"/>
  <c r="I28" i="5"/>
  <c r="J28" i="5"/>
  <c r="K28" i="5"/>
  <c r="L28" i="5"/>
  <c r="M28" i="5"/>
  <c r="C29" i="5"/>
  <c r="D29" i="5"/>
  <c r="E29" i="5"/>
  <c r="F29" i="5"/>
  <c r="G29" i="5"/>
  <c r="H29" i="5"/>
  <c r="I29" i="5"/>
  <c r="J29" i="5"/>
  <c r="K29" i="5"/>
  <c r="L29" i="5"/>
  <c r="M29" i="5"/>
  <c r="C30" i="5"/>
  <c r="D30" i="5"/>
  <c r="E30" i="5"/>
  <c r="F30" i="5"/>
  <c r="G30" i="5"/>
  <c r="H30" i="5"/>
  <c r="I30" i="5"/>
  <c r="J30" i="5"/>
  <c r="K30" i="5"/>
  <c r="L30" i="5"/>
  <c r="M30" i="5"/>
  <c r="C31" i="5"/>
  <c r="D31" i="5"/>
  <c r="E31" i="5"/>
  <c r="F31" i="5"/>
  <c r="G31" i="5"/>
  <c r="H31" i="5"/>
  <c r="I31" i="5"/>
  <c r="J31" i="5"/>
  <c r="K31" i="5"/>
  <c r="L31" i="5"/>
  <c r="M31" i="5"/>
  <c r="C32" i="5"/>
  <c r="D32" i="5"/>
  <c r="E32" i="5"/>
  <c r="F32" i="5"/>
  <c r="G32" i="5"/>
  <c r="H32" i="5"/>
  <c r="I32" i="5"/>
  <c r="J32" i="5"/>
  <c r="K32" i="5"/>
  <c r="L32" i="5"/>
  <c r="M32" i="5"/>
  <c r="C33" i="5"/>
  <c r="D33" i="5"/>
  <c r="E33" i="5"/>
  <c r="F33" i="5"/>
  <c r="G33" i="5"/>
  <c r="H33" i="5"/>
  <c r="I33" i="5"/>
  <c r="J33" i="5"/>
  <c r="K33" i="5"/>
  <c r="L33" i="5"/>
  <c r="M33" i="5"/>
  <c r="C34" i="5"/>
  <c r="D34" i="5"/>
  <c r="E34" i="5"/>
  <c r="F34" i="5"/>
  <c r="G34" i="5"/>
  <c r="H34" i="5"/>
  <c r="I34" i="5"/>
  <c r="J34" i="5"/>
  <c r="K34" i="5"/>
  <c r="L34" i="5"/>
  <c r="M34" i="5"/>
  <c r="C35" i="5"/>
  <c r="D35" i="5"/>
  <c r="E35" i="5"/>
  <c r="F35" i="5"/>
  <c r="G35" i="5"/>
  <c r="H35" i="5"/>
  <c r="I35" i="5"/>
  <c r="J35" i="5"/>
  <c r="K35" i="5"/>
  <c r="L35" i="5"/>
  <c r="M35" i="5"/>
  <c r="C36" i="5"/>
  <c r="D36" i="5"/>
  <c r="E36" i="5"/>
  <c r="F36" i="5"/>
  <c r="G36" i="5"/>
  <c r="H36" i="5"/>
  <c r="I36" i="5"/>
  <c r="J36" i="5"/>
  <c r="K36" i="5"/>
  <c r="L36" i="5"/>
  <c r="M36" i="5"/>
  <c r="C37" i="5"/>
  <c r="D37" i="5"/>
  <c r="E37" i="5"/>
  <c r="F37" i="5"/>
  <c r="G37" i="5"/>
  <c r="H37" i="5"/>
  <c r="I37" i="5"/>
  <c r="J37" i="5"/>
  <c r="K37" i="5"/>
  <c r="L37" i="5"/>
  <c r="M37" i="5"/>
  <c r="C38" i="5"/>
  <c r="D38" i="5"/>
  <c r="E38" i="5"/>
  <c r="F38" i="5"/>
  <c r="G38" i="5"/>
  <c r="H38" i="5"/>
  <c r="I38" i="5"/>
  <c r="J38" i="5"/>
  <c r="K38" i="5"/>
  <c r="L38" i="5"/>
  <c r="M38" i="5"/>
  <c r="C39" i="5"/>
  <c r="D39" i="5"/>
  <c r="E39" i="5"/>
  <c r="F39" i="5"/>
  <c r="G39" i="5"/>
  <c r="H39" i="5"/>
  <c r="I39" i="5"/>
  <c r="J39" i="5"/>
  <c r="K39" i="5"/>
  <c r="L39" i="5"/>
  <c r="M39" i="5"/>
  <c r="C40" i="5"/>
  <c r="D40" i="5"/>
  <c r="E40" i="5"/>
  <c r="F40" i="5"/>
  <c r="G40" i="5"/>
  <c r="H40" i="5"/>
  <c r="I40" i="5"/>
  <c r="J40" i="5"/>
  <c r="K40" i="5"/>
  <c r="L40" i="5"/>
  <c r="M40" i="5"/>
  <c r="C41" i="5"/>
  <c r="D41" i="5"/>
  <c r="E41" i="5"/>
  <c r="F41" i="5"/>
  <c r="G41" i="5"/>
  <c r="H41" i="5"/>
  <c r="I41" i="5"/>
  <c r="J41" i="5"/>
  <c r="K41" i="5"/>
  <c r="L41" i="5"/>
  <c r="M41" i="5"/>
  <c r="C42" i="5"/>
  <c r="D42" i="5"/>
  <c r="E42" i="5"/>
  <c r="F42" i="5"/>
  <c r="G42" i="5"/>
  <c r="H42" i="5"/>
  <c r="I42" i="5"/>
  <c r="J42" i="5"/>
  <c r="K42" i="5"/>
  <c r="L42" i="5"/>
  <c r="M42" i="5"/>
  <c r="C43" i="5"/>
  <c r="D43" i="5"/>
  <c r="E43" i="5"/>
  <c r="F43" i="5"/>
  <c r="G43" i="5"/>
  <c r="H43" i="5"/>
  <c r="I43" i="5"/>
  <c r="J43" i="5"/>
  <c r="K43" i="5"/>
  <c r="L43" i="5"/>
  <c r="M43" i="5"/>
  <c r="C44" i="5"/>
  <c r="D44" i="5"/>
  <c r="E44" i="5"/>
  <c r="F44" i="5"/>
  <c r="G44" i="5"/>
  <c r="H44" i="5"/>
  <c r="I44" i="5"/>
  <c r="J44" i="5"/>
  <c r="K44" i="5"/>
  <c r="L44" i="5"/>
  <c r="M44" i="5"/>
  <c r="C45" i="5"/>
  <c r="D45" i="5"/>
  <c r="E45" i="5"/>
  <c r="F45" i="5"/>
  <c r="G45" i="5"/>
  <c r="H45" i="5"/>
  <c r="I45" i="5"/>
  <c r="J45" i="5"/>
  <c r="K45" i="5"/>
  <c r="L45" i="5"/>
  <c r="M45" i="5"/>
  <c r="C46" i="5"/>
  <c r="D46" i="5"/>
  <c r="E46" i="5"/>
  <c r="F46" i="5"/>
  <c r="G46" i="5"/>
  <c r="H46" i="5"/>
  <c r="I46" i="5"/>
  <c r="J46" i="5"/>
  <c r="K46" i="5"/>
  <c r="L46" i="5"/>
  <c r="M46" i="5"/>
  <c r="C47" i="5"/>
  <c r="D47" i="5"/>
  <c r="E47" i="5"/>
  <c r="F47" i="5"/>
  <c r="G47" i="5"/>
  <c r="H47" i="5"/>
  <c r="I47" i="5"/>
  <c r="J47" i="5"/>
  <c r="K47" i="5"/>
  <c r="L47" i="5"/>
  <c r="M47" i="5"/>
  <c r="C48" i="5"/>
  <c r="D48" i="5"/>
  <c r="E48" i="5"/>
  <c r="F48" i="5"/>
  <c r="G48" i="5"/>
  <c r="H48" i="5"/>
  <c r="I48" i="5"/>
  <c r="J48" i="5"/>
  <c r="K48" i="5"/>
  <c r="L48" i="5"/>
  <c r="M48" i="5"/>
  <c r="C49" i="5"/>
  <c r="D49" i="5"/>
  <c r="E49" i="5"/>
  <c r="F49" i="5"/>
  <c r="G49" i="5"/>
  <c r="H49" i="5"/>
  <c r="I49" i="5"/>
  <c r="J49" i="5"/>
  <c r="K49" i="5"/>
  <c r="L49" i="5"/>
  <c r="M49" i="5"/>
  <c r="C50" i="5"/>
  <c r="D50" i="5"/>
  <c r="E50" i="5"/>
  <c r="F50" i="5"/>
  <c r="G50" i="5"/>
  <c r="H50" i="5"/>
  <c r="I50" i="5"/>
  <c r="J50" i="5"/>
  <c r="K50" i="5"/>
  <c r="L50" i="5"/>
  <c r="M50" i="5"/>
  <c r="C54" i="5"/>
  <c r="D54" i="5"/>
  <c r="E54" i="5"/>
  <c r="F54" i="5"/>
  <c r="G54" i="5"/>
  <c r="H54" i="5"/>
  <c r="I54" i="5"/>
  <c r="J54" i="5"/>
  <c r="K54" i="5"/>
  <c r="L54" i="5"/>
  <c r="M54" i="5"/>
  <c r="C55" i="5"/>
  <c r="D55" i="5"/>
  <c r="E55" i="5"/>
  <c r="F55" i="5"/>
  <c r="G55" i="5"/>
  <c r="H55" i="5"/>
  <c r="I55" i="5"/>
  <c r="J55" i="5"/>
  <c r="K55" i="5"/>
  <c r="L55" i="5"/>
  <c r="M55" i="5"/>
  <c r="C56" i="5"/>
  <c r="D56" i="5"/>
  <c r="E56" i="5"/>
  <c r="F56" i="5"/>
  <c r="G56" i="5"/>
  <c r="H56" i="5"/>
  <c r="I56" i="5"/>
  <c r="J56" i="5"/>
  <c r="K56" i="5"/>
  <c r="L56" i="5"/>
  <c r="M56" i="5"/>
  <c r="C57" i="5"/>
  <c r="D57" i="5"/>
  <c r="E57" i="5"/>
  <c r="F57" i="5"/>
  <c r="G57" i="5"/>
  <c r="H57" i="5"/>
  <c r="I57" i="5"/>
  <c r="J57" i="5"/>
  <c r="K57" i="5"/>
  <c r="L57" i="5"/>
  <c r="M57" i="5"/>
  <c r="C58" i="5"/>
  <c r="D58" i="5"/>
  <c r="E58" i="5"/>
  <c r="F58" i="5"/>
  <c r="G58" i="5"/>
  <c r="H58" i="5"/>
  <c r="I58" i="5"/>
  <c r="J58" i="5"/>
  <c r="K58" i="5"/>
  <c r="L58" i="5"/>
  <c r="M58" i="5"/>
  <c r="C59" i="5"/>
  <c r="D59" i="5"/>
  <c r="E59" i="5"/>
  <c r="F59" i="5"/>
  <c r="G59" i="5"/>
  <c r="H59" i="5"/>
  <c r="I59" i="5"/>
  <c r="J59" i="5"/>
  <c r="K59" i="5"/>
  <c r="L59" i="5"/>
  <c r="M59" i="5"/>
  <c r="C60" i="5"/>
  <c r="D60" i="5"/>
  <c r="E60" i="5"/>
  <c r="F60" i="5"/>
  <c r="G60" i="5"/>
  <c r="H60" i="5"/>
  <c r="I60" i="5"/>
  <c r="J60" i="5"/>
  <c r="K60" i="5"/>
  <c r="L60" i="5"/>
  <c r="M60" i="5"/>
  <c r="C61" i="5"/>
  <c r="D61" i="5"/>
  <c r="E61" i="5"/>
  <c r="F61" i="5"/>
  <c r="G61" i="5"/>
  <c r="H61" i="5"/>
  <c r="I61" i="5"/>
  <c r="J61" i="5"/>
  <c r="K61" i="5"/>
  <c r="L61" i="5"/>
  <c r="M61" i="5"/>
  <c r="C62" i="5"/>
  <c r="D62" i="5"/>
  <c r="E62" i="5"/>
  <c r="F62" i="5"/>
  <c r="G62" i="5"/>
  <c r="H62" i="5"/>
  <c r="I62" i="5"/>
  <c r="J62" i="5"/>
  <c r="K62" i="5"/>
  <c r="L62" i="5"/>
  <c r="M62" i="5"/>
  <c r="C63" i="5"/>
  <c r="D63" i="5"/>
  <c r="E63" i="5"/>
  <c r="F63" i="5"/>
  <c r="G63" i="5"/>
  <c r="H63" i="5"/>
  <c r="I63" i="5"/>
  <c r="J63" i="5"/>
  <c r="K63" i="5"/>
  <c r="L63" i="5"/>
  <c r="M63" i="5"/>
  <c r="C64" i="5"/>
  <c r="D64" i="5"/>
  <c r="E64" i="5"/>
  <c r="F64" i="5"/>
  <c r="G64" i="5"/>
  <c r="H64" i="5"/>
  <c r="I64" i="5"/>
  <c r="J64" i="5"/>
  <c r="K64" i="5"/>
  <c r="L64" i="5"/>
  <c r="M64" i="5"/>
  <c r="C65" i="5"/>
  <c r="D65" i="5"/>
  <c r="E65" i="5"/>
  <c r="F65" i="5"/>
  <c r="G65" i="5"/>
  <c r="H65" i="5"/>
  <c r="I65" i="5"/>
  <c r="J65" i="5"/>
  <c r="K65" i="5"/>
  <c r="L65" i="5"/>
  <c r="M65" i="5"/>
  <c r="C66" i="5"/>
  <c r="D66" i="5"/>
  <c r="E66" i="5"/>
  <c r="F66" i="5"/>
  <c r="G66" i="5"/>
  <c r="H66" i="5"/>
  <c r="I66" i="5"/>
  <c r="J66" i="5"/>
  <c r="K66" i="5"/>
  <c r="L66" i="5"/>
  <c r="M66" i="5"/>
  <c r="C67" i="5"/>
  <c r="D67" i="5"/>
  <c r="E67" i="5"/>
  <c r="F67" i="5"/>
  <c r="G67" i="5"/>
  <c r="H67" i="5"/>
  <c r="I67" i="5"/>
  <c r="J67" i="5"/>
  <c r="K67" i="5"/>
  <c r="L67" i="5"/>
  <c r="M67" i="5"/>
  <c r="C68" i="5"/>
  <c r="D68" i="5"/>
  <c r="E68" i="5"/>
  <c r="F68" i="5"/>
  <c r="G68" i="5"/>
  <c r="H68" i="5"/>
  <c r="I68" i="5"/>
  <c r="J68" i="5"/>
  <c r="K68" i="5"/>
  <c r="L68" i="5"/>
  <c r="M68" i="5"/>
  <c r="C69" i="5"/>
  <c r="D69" i="5"/>
  <c r="E69" i="5"/>
  <c r="F69" i="5"/>
  <c r="G69" i="5"/>
  <c r="H69" i="5"/>
  <c r="I69" i="5"/>
  <c r="J69" i="5"/>
  <c r="K69" i="5"/>
  <c r="L69" i="5"/>
  <c r="M69" i="5"/>
  <c r="C70" i="5"/>
  <c r="D70" i="5"/>
  <c r="E70" i="5"/>
  <c r="F70" i="5"/>
  <c r="G70" i="5"/>
  <c r="H70" i="5"/>
  <c r="I70" i="5"/>
  <c r="J70" i="5"/>
  <c r="K70" i="5"/>
  <c r="L70" i="5"/>
  <c r="M70" i="5"/>
  <c r="C71" i="5"/>
  <c r="D71" i="5"/>
  <c r="E71" i="5"/>
  <c r="F71" i="5"/>
  <c r="G71" i="5"/>
  <c r="H71" i="5"/>
  <c r="I71" i="5"/>
  <c r="J71" i="5"/>
  <c r="K71" i="5"/>
  <c r="L71" i="5"/>
  <c r="M71" i="5"/>
  <c r="C75" i="5"/>
  <c r="D75" i="5"/>
  <c r="E75" i="5"/>
  <c r="F75" i="5"/>
  <c r="G75" i="5"/>
  <c r="H75" i="5"/>
  <c r="I75" i="5"/>
  <c r="J75" i="5"/>
  <c r="M75" i="5"/>
  <c r="C76" i="5"/>
  <c r="D76" i="5"/>
  <c r="E76" i="5"/>
  <c r="F76" i="5"/>
  <c r="G76" i="5"/>
  <c r="H76" i="5"/>
  <c r="I76" i="5"/>
  <c r="J76" i="5"/>
  <c r="M76" i="5"/>
  <c r="C77" i="5"/>
  <c r="D77" i="5"/>
  <c r="E77" i="5"/>
  <c r="F77" i="5"/>
  <c r="G77" i="5"/>
  <c r="H77" i="5"/>
  <c r="I77" i="5"/>
  <c r="J77" i="5"/>
  <c r="M77" i="5"/>
  <c r="C78" i="5"/>
  <c r="D78" i="5"/>
  <c r="E78" i="5"/>
  <c r="F78" i="5"/>
  <c r="G78" i="5"/>
  <c r="H78" i="5"/>
  <c r="I78" i="5"/>
  <c r="J78" i="5"/>
  <c r="M78" i="5"/>
  <c r="C79" i="5"/>
  <c r="D79" i="5"/>
  <c r="E79" i="5"/>
  <c r="F79" i="5"/>
  <c r="G79" i="5"/>
  <c r="H79" i="5"/>
  <c r="I79" i="5"/>
  <c r="J79" i="5"/>
  <c r="M79" i="5"/>
  <c r="C80" i="5"/>
  <c r="D80" i="5"/>
  <c r="E80" i="5"/>
  <c r="F80" i="5"/>
  <c r="G80" i="5"/>
  <c r="H80" i="5"/>
  <c r="I80" i="5"/>
  <c r="J80" i="5"/>
  <c r="M80" i="5"/>
  <c r="C81" i="5"/>
  <c r="D81" i="5"/>
  <c r="E81" i="5"/>
  <c r="F81" i="5"/>
  <c r="G81" i="5"/>
  <c r="H81" i="5"/>
  <c r="I81" i="5"/>
  <c r="J81" i="5"/>
  <c r="M81" i="5"/>
  <c r="C82" i="5"/>
  <c r="D82" i="5"/>
  <c r="E82" i="5"/>
  <c r="F82" i="5"/>
  <c r="G82" i="5"/>
  <c r="H82" i="5"/>
  <c r="I82" i="5"/>
  <c r="J82" i="5"/>
  <c r="M82" i="5"/>
  <c r="C83" i="5"/>
  <c r="D83" i="5"/>
  <c r="E83" i="5"/>
  <c r="F83" i="5"/>
  <c r="G83" i="5"/>
  <c r="H83" i="5"/>
  <c r="I83" i="5"/>
  <c r="J83" i="5"/>
  <c r="M83" i="5"/>
  <c r="C84" i="5"/>
  <c r="D84" i="5"/>
  <c r="E84" i="5"/>
  <c r="F84" i="5"/>
  <c r="G84" i="5"/>
  <c r="H84" i="5"/>
  <c r="I84" i="5"/>
  <c r="J84" i="5"/>
  <c r="M84" i="5"/>
  <c r="C86" i="5"/>
  <c r="D86" i="5"/>
  <c r="E86" i="5"/>
  <c r="F86" i="5"/>
  <c r="G86" i="5"/>
  <c r="H86" i="5"/>
  <c r="I86" i="5"/>
  <c r="J86" i="5"/>
  <c r="M86" i="5"/>
  <c r="C87" i="5"/>
  <c r="D87" i="5"/>
  <c r="E87" i="5"/>
  <c r="F87" i="5"/>
  <c r="G87" i="5"/>
  <c r="H87" i="5"/>
  <c r="I87" i="5"/>
  <c r="J87" i="5"/>
  <c r="M87" i="5"/>
  <c r="C88" i="5"/>
  <c r="D88" i="5"/>
  <c r="E88" i="5"/>
  <c r="F88" i="5"/>
  <c r="G88" i="5"/>
  <c r="H88" i="5"/>
  <c r="I88" i="5"/>
  <c r="J88" i="5"/>
  <c r="M88" i="5"/>
  <c r="C89" i="5"/>
  <c r="D89" i="5"/>
  <c r="E89" i="5"/>
  <c r="F89" i="5"/>
  <c r="G89" i="5"/>
  <c r="H89" i="5"/>
  <c r="I89" i="5"/>
  <c r="J89" i="5"/>
  <c r="M89" i="5"/>
  <c r="C90" i="5"/>
  <c r="D90" i="5"/>
  <c r="E90" i="5"/>
  <c r="F90" i="5"/>
  <c r="G90" i="5"/>
  <c r="H90" i="5"/>
  <c r="I90" i="5"/>
  <c r="J90" i="5"/>
  <c r="M90" i="5"/>
  <c r="C91" i="5"/>
  <c r="D91" i="5"/>
  <c r="E91" i="5"/>
  <c r="F91" i="5"/>
  <c r="G91" i="5"/>
  <c r="H91" i="5"/>
  <c r="I91" i="5"/>
  <c r="J91" i="5"/>
  <c r="M91" i="5"/>
  <c r="C92" i="5"/>
  <c r="D92" i="5"/>
  <c r="E92" i="5"/>
  <c r="F92" i="5"/>
  <c r="G92" i="5"/>
  <c r="H92" i="5"/>
  <c r="I92" i="5"/>
  <c r="J92" i="5"/>
  <c r="M92" i="5"/>
  <c r="C93" i="5"/>
  <c r="D93" i="5"/>
  <c r="E93" i="5"/>
  <c r="F93" i="5"/>
  <c r="G93" i="5"/>
  <c r="H93" i="5"/>
  <c r="I93" i="5"/>
  <c r="J93" i="5"/>
  <c r="M93" i="5"/>
  <c r="C94" i="5"/>
  <c r="D94" i="5"/>
  <c r="E94" i="5"/>
  <c r="F94" i="5"/>
  <c r="G94" i="5"/>
  <c r="H94" i="5"/>
  <c r="I94" i="5"/>
  <c r="J94" i="5"/>
  <c r="M94" i="5"/>
  <c r="C98" i="5"/>
  <c r="D98" i="5"/>
  <c r="E98" i="5"/>
  <c r="F98" i="5"/>
  <c r="G98" i="5"/>
  <c r="H98" i="5"/>
  <c r="I98" i="5"/>
  <c r="J98" i="5"/>
  <c r="M98" i="5"/>
  <c r="C100" i="5"/>
  <c r="D100" i="5"/>
  <c r="E100" i="5"/>
  <c r="F100" i="5"/>
  <c r="G100" i="5"/>
  <c r="H100" i="5"/>
  <c r="I100" i="5"/>
  <c r="J100" i="5"/>
  <c r="M100" i="5"/>
  <c r="M101" i="5"/>
  <c r="M89" i="4"/>
  <c r="C10" i="6"/>
  <c r="M81" i="4"/>
  <c r="M95" i="4"/>
  <c r="M93" i="4"/>
  <c r="B99" i="4"/>
  <c r="B100" i="4"/>
  <c r="B98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75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5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99" i="3"/>
  <c r="B100" i="3"/>
  <c r="B98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75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5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99" i="2"/>
  <c r="B100" i="2"/>
  <c r="B98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75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5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99" i="1"/>
  <c r="B100" i="1"/>
  <c r="B98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75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5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4" i="4"/>
  <c r="B4" i="3"/>
  <c r="B4" i="2"/>
  <c r="B4" i="1"/>
</calcChain>
</file>

<file path=xl/sharedStrings.xml><?xml version="1.0" encoding="utf-8"?>
<sst xmlns="http://schemas.openxmlformats.org/spreadsheetml/2006/main" count="474" uniqueCount="153">
  <si>
    <t xml:space="preserve">Mahavishnu </t>
  </si>
  <si>
    <t>OPENING STOCK</t>
  </si>
  <si>
    <t>CASES*12</t>
  </si>
  <si>
    <t>BTLS</t>
  </si>
  <si>
    <t>750 ML</t>
  </si>
  <si>
    <t>375 ML</t>
  </si>
  <si>
    <t>180 ML</t>
  </si>
  <si>
    <t>90 ML</t>
  </si>
  <si>
    <t>60 ML</t>
  </si>
  <si>
    <t>SL.</t>
  </si>
  <si>
    <t>CASES*24</t>
  </si>
  <si>
    <t>CASES*48</t>
  </si>
  <si>
    <t>CASES*96</t>
  </si>
  <si>
    <t>PRODUCT NAME</t>
  </si>
  <si>
    <t>BEERS</t>
  </si>
  <si>
    <t>650 ML</t>
  </si>
  <si>
    <t>330 ML (PINT)</t>
  </si>
  <si>
    <t>BEVERAGES</t>
  </si>
  <si>
    <t>2 LTRS</t>
  </si>
  <si>
    <t>1 LTRS</t>
  </si>
  <si>
    <t>250 ML</t>
  </si>
  <si>
    <t>CREDIT BILLS</t>
  </si>
  <si>
    <t>GALLA CASH</t>
  </si>
  <si>
    <t>CIGRETE</t>
  </si>
  <si>
    <t>CASH TO BANK</t>
  </si>
  <si>
    <t>EXPENCES</t>
  </si>
  <si>
    <t>M H BRANDY</t>
  </si>
  <si>
    <t>MC BRANDY</t>
  </si>
  <si>
    <t>O.C.BRANDY</t>
  </si>
  <si>
    <t>O A BRANDY</t>
  </si>
  <si>
    <t>BEJOIS BRANDY</t>
  </si>
  <si>
    <t>MORPHIS BRANDY</t>
  </si>
  <si>
    <t>M C WHISKY</t>
  </si>
  <si>
    <t>BAGPIPER (W)</t>
  </si>
  <si>
    <t>SIGNATURE (W)</t>
  </si>
  <si>
    <t>O T WHISKY</t>
  </si>
  <si>
    <t>DSP BLACK(W)</t>
  </si>
  <si>
    <t>O C WHISKY</t>
  </si>
  <si>
    <t>R C WHISKY</t>
  </si>
  <si>
    <t>BLENDERS PRIDE</t>
  </si>
  <si>
    <t>B'LORE MALT (W)</t>
  </si>
  <si>
    <t>ROYAL STAGE</t>
  </si>
  <si>
    <t>HAYWARDS(W)</t>
  </si>
  <si>
    <t>8.PM (W)</t>
  </si>
  <si>
    <t>IMPERIAL BLUE(W)</t>
  </si>
  <si>
    <t>BLACK DOG(8)YRS</t>
  </si>
  <si>
    <t>100 PIPERS</t>
  </si>
  <si>
    <t>TEACHERS HIGH</t>
  </si>
  <si>
    <t>HERCULES RUM</t>
  </si>
  <si>
    <t>M C RUM</t>
  </si>
  <si>
    <t>OLD MONK RUM</t>
  </si>
  <si>
    <t>LEGACY RUM</t>
  </si>
  <si>
    <t>B'LORE RUM</t>
  </si>
  <si>
    <t>AMRUT RUM</t>
  </si>
  <si>
    <t>SMIRNOFF VODKA</t>
  </si>
  <si>
    <t>GONAS WINE</t>
  </si>
  <si>
    <t>MAGIC PORT WINE</t>
  </si>
  <si>
    <t>K.F PREMIUM</t>
  </si>
  <si>
    <t>K.F STRONG</t>
  </si>
  <si>
    <t>U.B EXPORT</t>
  </si>
  <si>
    <t>KNOCK OUT</t>
  </si>
  <si>
    <t>BACARDI +</t>
  </si>
  <si>
    <t>BACARDI BREEZER</t>
  </si>
  <si>
    <t>HUNTER</t>
  </si>
  <si>
    <t>MIN WATER</t>
  </si>
  <si>
    <t>VAT 69</t>
  </si>
  <si>
    <t>BACARDI  ORN+APP+LIM</t>
  </si>
  <si>
    <t>BLACK &amp; WHITE (8)YRS</t>
  </si>
  <si>
    <t>500 ML TIN(CAN)</t>
  </si>
  <si>
    <t>330 ML TIN(CAN)</t>
  </si>
  <si>
    <t>CASES*30</t>
  </si>
  <si>
    <t>CASES*9</t>
  </si>
  <si>
    <t>500 ML-600 ML</t>
  </si>
  <si>
    <t>COOL DRINKS</t>
  </si>
  <si>
    <t>BUDWISER MAGNUM</t>
  </si>
  <si>
    <t>BUDWISER PREM</t>
  </si>
  <si>
    <t>K.F STROM</t>
  </si>
  <si>
    <t>BOX*25</t>
  </si>
  <si>
    <t xml:space="preserve">OPENING STOCK                                                                                 </t>
  </si>
  <si>
    <t xml:space="preserve">TOTAL  STOCK                                                                                 </t>
  </si>
  <si>
    <t>TOTAL STOCK</t>
  </si>
  <si>
    <t xml:space="preserve">CLOSING STOCK                                                                                 </t>
  </si>
  <si>
    <t>CLOSING STOCK</t>
  </si>
  <si>
    <t>CLOSING  STOCK</t>
  </si>
  <si>
    <t>SALES</t>
  </si>
  <si>
    <t>500 CAN</t>
  </si>
  <si>
    <t>330 PINT</t>
  </si>
  <si>
    <t>330 CAN</t>
  </si>
  <si>
    <t>0.5-0.6L</t>
  </si>
  <si>
    <t>0.3-.25L</t>
  </si>
  <si>
    <t>DATE</t>
  </si>
  <si>
    <t>PARTICULARS</t>
  </si>
  <si>
    <t>AMOUNT</t>
  </si>
  <si>
    <t>TOTAL</t>
  </si>
  <si>
    <t>RATE</t>
  </si>
  <si>
    <t>RATES</t>
  </si>
  <si>
    <t xml:space="preserve">RATE </t>
  </si>
  <si>
    <t>TOTAL SALES</t>
  </si>
  <si>
    <t>DIFFRENCE</t>
  </si>
  <si>
    <t>BALANCE AMOUNT</t>
  </si>
  <si>
    <t xml:space="preserve"> TOTAL COLLECTION</t>
  </si>
  <si>
    <t>PREVIOUS CLOSINGS</t>
  </si>
  <si>
    <t xml:space="preserve">RECIEPTS INVOICE </t>
  </si>
  <si>
    <t>RECIEPTS INVOICE</t>
  </si>
  <si>
    <t>PRESENT CLOSINGS</t>
  </si>
  <si>
    <t xml:space="preserve">GRAND TOTAL </t>
  </si>
  <si>
    <t>PREV. CIGRETE</t>
  </si>
  <si>
    <t>PREV. CREDIT BILLS</t>
  </si>
  <si>
    <t>PREV. GALLA CASH</t>
  </si>
  <si>
    <t>CASH SALES</t>
  </si>
  <si>
    <t>TOTAL- CASH IN LOCKER</t>
  </si>
  <si>
    <t>PREV.CASH IN LOCKER</t>
  </si>
  <si>
    <r>
      <t xml:space="preserve">Mahavishnu </t>
    </r>
    <r>
      <rPr>
        <b/>
        <i/>
        <sz val="9"/>
        <color rgb="FFFF0000"/>
        <rFont val="Calibri"/>
        <scheme val="minor"/>
      </rPr>
      <t>PAGE 2</t>
    </r>
  </si>
  <si>
    <r>
      <t>Mahavishnu</t>
    </r>
    <r>
      <rPr>
        <b/>
        <i/>
        <sz val="9"/>
        <color rgb="FFFF0000"/>
        <rFont val="Calibri"/>
        <scheme val="minor"/>
      </rPr>
      <t xml:space="preserve"> PAGE 2</t>
    </r>
  </si>
  <si>
    <r>
      <rPr>
        <b/>
        <sz val="12"/>
        <color theme="0"/>
        <rFont val="Calibri"/>
        <family val="2"/>
        <scheme val="minor"/>
      </rPr>
      <t>SALES</t>
    </r>
    <r>
      <rPr>
        <b/>
        <sz val="8"/>
        <color theme="0"/>
        <rFont val="Calibri"/>
        <scheme val="minor"/>
      </rPr>
      <t xml:space="preserve"> PAGE 2</t>
    </r>
  </si>
  <si>
    <r>
      <t>Mahavishnu</t>
    </r>
    <r>
      <rPr>
        <b/>
        <i/>
        <sz val="9"/>
        <color theme="0"/>
        <rFont val="Calibri"/>
        <scheme val="minor"/>
      </rPr>
      <t xml:space="preserve"> PAGE 2</t>
    </r>
  </si>
  <si>
    <r>
      <t xml:space="preserve">RATES </t>
    </r>
    <r>
      <rPr>
        <b/>
        <sz val="8"/>
        <color rgb="FFFF6600"/>
        <rFont val="Calibri"/>
        <scheme val="minor"/>
      </rPr>
      <t>PAGE 2</t>
    </r>
  </si>
  <si>
    <r>
      <t xml:space="preserve">CLOSING STOCK </t>
    </r>
    <r>
      <rPr>
        <b/>
        <sz val="9"/>
        <color rgb="FFFF0000"/>
        <rFont val="Calibri"/>
        <scheme val="minor"/>
      </rPr>
      <t>PAGE 2</t>
    </r>
  </si>
  <si>
    <r>
      <t xml:space="preserve">TOTAL  STOCK </t>
    </r>
    <r>
      <rPr>
        <b/>
        <sz val="9"/>
        <color rgb="FFFF0000"/>
        <rFont val="Calibri"/>
        <scheme val="minor"/>
      </rPr>
      <t>PAGE 2</t>
    </r>
  </si>
  <si>
    <r>
      <t xml:space="preserve">OPENING STOCK </t>
    </r>
    <r>
      <rPr>
        <b/>
        <sz val="9"/>
        <color rgb="FFFF0000"/>
        <rFont val="Calibri"/>
        <scheme val="minor"/>
      </rPr>
      <t>PAGE 2</t>
    </r>
  </si>
  <si>
    <t>TOBURG STRONG BEER</t>
  </si>
  <si>
    <t>COURIOR NEPOLIN BRANDY</t>
  </si>
  <si>
    <t>CARLSBERG ELE STRONG</t>
  </si>
  <si>
    <t>CARD SALE + PAYTM</t>
  </si>
  <si>
    <t>MAGIC MOMENTS</t>
  </si>
  <si>
    <t>BRO CODE</t>
  </si>
  <si>
    <t>SIDDUS WINE</t>
  </si>
  <si>
    <t>SODA*12/REDBULL*24</t>
  </si>
  <si>
    <t>BAGPIPER RUM</t>
  </si>
  <si>
    <t>ROULETTE BRANDY</t>
  </si>
  <si>
    <t>K.F ULTRA/ WITT BEER</t>
  </si>
  <si>
    <t>AMRUT SILVER CUP</t>
  </si>
  <si>
    <t xml:space="preserve">POWERCOOL </t>
  </si>
  <si>
    <t>FOSTERS BEER</t>
  </si>
  <si>
    <t>HONEY BEE BRANDY</t>
  </si>
  <si>
    <t>MC RUM CLASSIC</t>
  </si>
  <si>
    <t>8.PM (W) BLUE</t>
  </si>
  <si>
    <t>HEINEKEN BEER</t>
  </si>
  <si>
    <t>ANTIQUITY BLUE(W)</t>
  </si>
  <si>
    <t>TANGO RED WINE</t>
  </si>
  <si>
    <t>TUBORG CLASSIC</t>
  </si>
  <si>
    <t>HONEY CUP BRANDY</t>
  </si>
  <si>
    <t xml:space="preserve">CNB RED </t>
  </si>
  <si>
    <t>RC / BULLET BEER</t>
  </si>
  <si>
    <t>AFTER DARK</t>
  </si>
  <si>
    <t>FIREBALL</t>
  </si>
  <si>
    <t>CARNIVAL GIN</t>
  </si>
  <si>
    <t>VEGA WINE</t>
  </si>
  <si>
    <t>BUZZ BALL</t>
  </si>
  <si>
    <t>MUSCOVY LEMON</t>
  </si>
  <si>
    <t>MUSCOVY VODKA</t>
  </si>
  <si>
    <t>ROMANOV VODKA</t>
  </si>
  <si>
    <t>SUNNY 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</si>
</sst>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20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</font>
    <font>
      <b/>
      <i/>
      <sz val="24"/>
      <color theme="1"/>
      <name val="Calibri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theme="1"/>
      <name val="Calibri"/>
      <scheme val="minor"/>
    </font>
    <font>
      <b/>
      <i/>
      <sz val="12"/>
      <color rgb="FFFF0000"/>
      <name val="Calibri"/>
      <scheme val="minor"/>
    </font>
    <font>
      <b/>
      <i/>
      <sz val="20"/>
      <color rgb="FFFF0000"/>
      <name val="Calibri"/>
      <scheme val="minor"/>
    </font>
    <font>
      <b/>
      <i/>
      <sz val="9"/>
      <color rgb="FFFF0000"/>
      <name val="Calibri"/>
      <scheme val="minor"/>
    </font>
    <font>
      <b/>
      <sz val="12"/>
      <color rgb="FFFF0000"/>
      <name val="Calibri"/>
      <scheme val="minor"/>
    </font>
    <font>
      <b/>
      <sz val="10"/>
      <color rgb="FFFF0000"/>
      <name val="Calibri"/>
      <scheme val="minor"/>
    </font>
    <font>
      <b/>
      <sz val="12"/>
      <color theme="1" tint="4.9989318521683403E-2"/>
      <name val="Calibri"/>
      <scheme val="minor"/>
    </font>
    <font>
      <b/>
      <sz val="12"/>
      <color rgb="FFFF6600"/>
      <name val="Calibri"/>
      <scheme val="minor"/>
    </font>
    <font>
      <b/>
      <sz val="10"/>
      <color rgb="FFFF6600"/>
      <name val="Calibri"/>
      <scheme val="minor"/>
    </font>
    <font>
      <b/>
      <sz val="12"/>
      <color theme="0"/>
      <name val="Calibri"/>
      <family val="2"/>
      <scheme val="minor"/>
    </font>
    <font>
      <b/>
      <sz val="8"/>
      <color theme="0"/>
      <name val="Calibri"/>
      <scheme val="minor"/>
    </font>
    <font>
      <b/>
      <i/>
      <sz val="20"/>
      <color theme="0"/>
      <name val="Calibri"/>
      <scheme val="minor"/>
    </font>
    <font>
      <b/>
      <i/>
      <sz val="9"/>
      <color theme="0"/>
      <name val="Calibri"/>
      <scheme val="minor"/>
    </font>
    <font>
      <b/>
      <sz val="8"/>
      <color rgb="FFFF6600"/>
      <name val="Calibri"/>
      <scheme val="minor"/>
    </font>
    <font>
      <b/>
      <sz val="9"/>
      <color rgb="FFFF0000"/>
      <name val="Calibri"/>
      <scheme val="minor"/>
    </font>
    <font>
      <sz val="11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1C9D3"/>
        <bgColor indexed="64"/>
      </patternFill>
    </fill>
    <fill>
      <patternFill patternType="solid">
        <fgColor rgb="FFEEBFBC"/>
        <bgColor indexed="64"/>
      </patternFill>
    </fill>
    <fill>
      <patternFill patternType="solid">
        <fgColor rgb="FFE89FE9"/>
        <bgColor indexed="64"/>
      </patternFill>
    </fill>
    <fill>
      <patternFill patternType="solid">
        <fgColor rgb="FF1EEFFE"/>
        <bgColor indexed="64"/>
      </patternFill>
    </fill>
    <fill>
      <patternFill patternType="solid">
        <fgColor theme="8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9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58">
    <xf numFmtId="0" fontId="0" fillId="0" borderId="0" xfId="0"/>
    <xf numFmtId="0" fontId="0" fillId="0" borderId="7" xfId="0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13" fillId="3" borderId="6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31" xfId="0" applyBorder="1" applyProtection="1">
      <protection locked="0"/>
    </xf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9" fillId="0" borderId="0" xfId="0" applyFont="1" applyAlignment="1">
      <alignment vertical="center"/>
    </xf>
    <xf numFmtId="0" fontId="18" fillId="3" borderId="39" xfId="0" applyFont="1" applyFill="1" applyBorder="1"/>
    <xf numFmtId="0" fontId="9" fillId="5" borderId="40" xfId="0" applyFont="1" applyFill="1" applyBorder="1"/>
    <xf numFmtId="0" fontId="16" fillId="0" borderId="33" xfId="0" applyFont="1" applyBorder="1" applyProtection="1">
      <protection locked="0"/>
    </xf>
    <xf numFmtId="0" fontId="9" fillId="5" borderId="33" xfId="0" applyFont="1" applyFill="1" applyBorder="1"/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0" fillId="3" borderId="8" xfId="0" applyFill="1" applyBorder="1"/>
    <xf numFmtId="0" fontId="10" fillId="3" borderId="43" xfId="0" applyFont="1" applyFill="1" applyBorder="1" applyAlignment="1">
      <alignment horizontal="center"/>
    </xf>
    <xf numFmtId="0" fontId="0" fillId="3" borderId="18" xfId="0" applyFill="1" applyBorder="1"/>
    <xf numFmtId="0" fontId="5" fillId="0" borderId="41" xfId="0" applyFont="1" applyBorder="1"/>
    <xf numFmtId="0" fontId="5" fillId="3" borderId="20" xfId="0" applyFont="1" applyFill="1" applyBorder="1"/>
    <xf numFmtId="0" fontId="5" fillId="3" borderId="21" xfId="0" applyFont="1" applyFill="1" applyBorder="1"/>
    <xf numFmtId="0" fontId="5" fillId="3" borderId="24" xfId="0" applyFont="1" applyFill="1" applyBorder="1"/>
    <xf numFmtId="0" fontId="5" fillId="3" borderId="25" xfId="0" applyFont="1" applyFill="1" applyBorder="1"/>
    <xf numFmtId="0" fontId="0" fillId="0" borderId="9" xfId="0" applyBorder="1"/>
    <xf numFmtId="0" fontId="0" fillId="3" borderId="9" xfId="0" applyFill="1" applyBorder="1"/>
    <xf numFmtId="0" fontId="0" fillId="3" borderId="11" xfId="0" applyFill="1" applyBorder="1"/>
    <xf numFmtId="0" fontId="5" fillId="3" borderId="22" xfId="0" applyFont="1" applyFill="1" applyBorder="1"/>
    <xf numFmtId="0" fontId="5" fillId="3" borderId="23" xfId="0" applyFont="1" applyFill="1" applyBorder="1"/>
    <xf numFmtId="0" fontId="0" fillId="0" borderId="19" xfId="0" applyBorder="1" applyProtection="1">
      <protection locked="0"/>
    </xf>
    <xf numFmtId="0" fontId="0" fillId="0" borderId="32" xfId="0" applyBorder="1" applyProtection="1">
      <protection locked="0"/>
    </xf>
    <xf numFmtId="0" fontId="17" fillId="9" borderId="42" xfId="0" applyFont="1" applyFill="1" applyBorder="1"/>
    <xf numFmtId="0" fontId="0" fillId="10" borderId="42" xfId="0" applyFill="1" applyBorder="1"/>
    <xf numFmtId="0" fontId="5" fillId="4" borderId="44" xfId="0" applyFont="1" applyFill="1" applyBorder="1"/>
    <xf numFmtId="0" fontId="0" fillId="4" borderId="42" xfId="0" applyFill="1" applyBorder="1"/>
    <xf numFmtId="0" fontId="5" fillId="6" borderId="44" xfId="0" applyFont="1" applyFill="1" applyBorder="1"/>
    <xf numFmtId="0" fontId="0" fillId="6" borderId="42" xfId="0" applyFill="1" applyBorder="1"/>
    <xf numFmtId="0" fontId="0" fillId="0" borderId="48" xfId="0" applyBorder="1" applyProtection="1">
      <protection locked="0"/>
    </xf>
    <xf numFmtId="0" fontId="5" fillId="8" borderId="33" xfId="0" applyFont="1" applyFill="1" applyBorder="1"/>
    <xf numFmtId="0" fontId="5" fillId="7" borderId="44" xfId="0" applyFont="1" applyFill="1" applyBorder="1"/>
    <xf numFmtId="0" fontId="0" fillId="7" borderId="42" xfId="0" applyFill="1" applyBorder="1"/>
    <xf numFmtId="0" fontId="5" fillId="5" borderId="39" xfId="0" applyFont="1" applyFill="1" applyBorder="1"/>
    <xf numFmtId="0" fontId="18" fillId="3" borderId="44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3" fillId="3" borderId="31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0" fillId="0" borderId="38" xfId="0" applyBorder="1"/>
    <xf numFmtId="0" fontId="14" fillId="3" borderId="31" xfId="0" applyFont="1" applyFill="1" applyBorder="1" applyAlignment="1">
      <alignment horizontal="center"/>
    </xf>
    <xf numFmtId="0" fontId="0" fillId="3" borderId="31" xfId="0" applyFill="1" applyBorder="1"/>
    <xf numFmtId="0" fontId="5" fillId="3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0" fillId="3" borderId="38" xfId="0" applyFill="1" applyBorder="1"/>
    <xf numFmtId="0" fontId="0" fillId="0" borderId="40" xfId="0" applyBorder="1"/>
    <xf numFmtId="0" fontId="0" fillId="0" borderId="48" xfId="0" applyBorder="1"/>
    <xf numFmtId="0" fontId="5" fillId="14" borderId="36" xfId="0" applyFont="1" applyFill="1" applyBorder="1"/>
    <xf numFmtId="0" fontId="0" fillId="4" borderId="4" xfId="0" applyFill="1" applyBorder="1"/>
    <xf numFmtId="0" fontId="0" fillId="4" borderId="10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11" xfId="0" applyFill="1" applyBorder="1"/>
    <xf numFmtId="0" fontId="0" fillId="4" borderId="36" xfId="0" applyFill="1" applyBorder="1"/>
    <xf numFmtId="0" fontId="9" fillId="3" borderId="1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0" fillId="3" borderId="53" xfId="0" applyFont="1" applyFill="1" applyBorder="1" applyAlignment="1">
      <alignment horizontal="center"/>
    </xf>
    <xf numFmtId="0" fontId="10" fillId="3" borderId="50" xfId="0" applyFont="1" applyFill="1" applyBorder="1" applyAlignment="1">
      <alignment horizontal="center"/>
    </xf>
    <xf numFmtId="0" fontId="14" fillId="2" borderId="31" xfId="0" applyFont="1" applyFill="1" applyBorder="1" applyAlignment="1">
      <alignment horizontal="center"/>
    </xf>
    <xf numFmtId="0" fontId="5" fillId="0" borderId="21" xfId="0" applyFont="1" applyBorder="1"/>
    <xf numFmtId="0" fontId="5" fillId="0" borderId="23" xfId="0" applyFont="1" applyBorder="1"/>
    <xf numFmtId="0" fontId="5" fillId="3" borderId="2" xfId="0" applyFont="1" applyFill="1" applyBorder="1"/>
    <xf numFmtId="0" fontId="10" fillId="3" borderId="55" xfId="0" applyFont="1" applyFill="1" applyBorder="1" applyAlignment="1">
      <alignment horizontal="center"/>
    </xf>
    <xf numFmtId="0" fontId="5" fillId="3" borderId="15" xfId="0" applyFont="1" applyFill="1" applyBorder="1"/>
    <xf numFmtId="0" fontId="10" fillId="3" borderId="1" xfId="0" applyFont="1" applyFill="1" applyBorder="1" applyAlignment="1">
      <alignment horizontal="center"/>
    </xf>
    <xf numFmtId="18" fontId="10" fillId="3" borderId="1" xfId="0" applyNumberFormat="1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53" xfId="0" applyFont="1" applyFill="1" applyBorder="1" applyAlignment="1">
      <alignment horizontal="center"/>
    </xf>
    <xf numFmtId="0" fontId="0" fillId="0" borderId="6" xfId="0" applyBorder="1"/>
    <xf numFmtId="0" fontId="0" fillId="0" borderId="8" xfId="0" applyBorder="1"/>
    <xf numFmtId="164" fontId="0" fillId="13" borderId="6" xfId="0" applyNumberFormat="1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164" fontId="0" fillId="13" borderId="7" xfId="0" applyNumberFormat="1" applyFill="1" applyBorder="1" applyAlignment="1">
      <alignment horizontal="center"/>
    </xf>
    <xf numFmtId="164" fontId="0" fillId="13" borderId="2" xfId="0" applyNumberFormat="1" applyFill="1" applyBorder="1" applyAlignment="1">
      <alignment horizontal="center"/>
    </xf>
    <xf numFmtId="164" fontId="0" fillId="13" borderId="8" xfId="0" applyNumberFormat="1" applyFill="1" applyBorder="1" applyAlignment="1">
      <alignment horizontal="center"/>
    </xf>
    <xf numFmtId="164" fontId="0" fillId="13" borderId="11" xfId="0" applyNumberFormat="1" applyFill="1" applyBorder="1" applyAlignment="1">
      <alignment horizontal="center"/>
    </xf>
    <xf numFmtId="164" fontId="0" fillId="13" borderId="9" xfId="0" applyNumberFormat="1" applyFill="1" applyBorder="1" applyAlignment="1">
      <alignment horizontal="center"/>
    </xf>
    <xf numFmtId="164" fontId="0" fillId="13" borderId="12" xfId="0" applyNumberFormat="1" applyFill="1" applyBorder="1" applyAlignment="1">
      <alignment horizontal="center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3" borderId="7" xfId="0" applyNumberFormat="1" applyFill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3" borderId="9" xfId="0" applyNumberFormat="1" applyFill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5" fillId="0" borderId="2" xfId="0" applyNumberFormat="1" applyFont="1" applyBorder="1"/>
    <xf numFmtId="164" fontId="5" fillId="0" borderId="7" xfId="0" applyNumberFormat="1" applyFont="1" applyBorder="1"/>
    <xf numFmtId="164" fontId="5" fillId="0" borderId="1" xfId="0" applyNumberFormat="1" applyFont="1" applyBorder="1"/>
    <xf numFmtId="164" fontId="0" fillId="0" borderId="9" xfId="0" applyNumberFormat="1" applyBorder="1" applyAlignment="1" applyProtection="1">
      <alignment horizontal="center"/>
      <protection locked="0"/>
    </xf>
    <xf numFmtId="164" fontId="5" fillId="0" borderId="12" xfId="0" applyNumberFormat="1" applyFont="1" applyBorder="1"/>
    <xf numFmtId="164" fontId="5" fillId="0" borderId="9" xfId="0" applyNumberFormat="1" applyFont="1" applyBorder="1"/>
    <xf numFmtId="164" fontId="0" fillId="3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6" xfId="0" applyNumberFormat="1" applyFill="1" applyBorder="1"/>
    <xf numFmtId="164" fontId="0" fillId="3" borderId="7" xfId="0" applyNumberFormat="1" applyFill="1" applyBorder="1"/>
    <xf numFmtId="164" fontId="16" fillId="3" borderId="6" xfId="0" applyNumberFormat="1" applyFont="1" applyFill="1" applyBorder="1"/>
    <xf numFmtId="164" fontId="16" fillId="3" borderId="34" xfId="0" applyNumberFormat="1" applyFont="1" applyFill="1" applyBorder="1"/>
    <xf numFmtId="164" fontId="0" fillId="3" borderId="8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16" fillId="3" borderId="8" xfId="0" applyNumberFormat="1" applyFont="1" applyFill="1" applyBorder="1"/>
    <xf numFmtId="164" fontId="16" fillId="3" borderId="49" xfId="0" applyNumberFormat="1" applyFont="1" applyFill="1" applyBorder="1"/>
    <xf numFmtId="164" fontId="16" fillId="3" borderId="7" xfId="0" applyNumberFormat="1" applyFont="1" applyFill="1" applyBorder="1"/>
    <xf numFmtId="164" fontId="5" fillId="3" borderId="6" xfId="0" applyNumberFormat="1" applyFont="1" applyFill="1" applyBorder="1"/>
    <xf numFmtId="164" fontId="5" fillId="3" borderId="7" xfId="0" applyNumberFormat="1" applyFont="1" applyFill="1" applyBorder="1"/>
    <xf numFmtId="164" fontId="5" fillId="3" borderId="8" xfId="0" applyNumberFormat="1" applyFont="1" applyFill="1" applyBorder="1"/>
    <xf numFmtId="164" fontId="5" fillId="3" borderId="9" xfId="0" applyNumberFormat="1" applyFont="1" applyFill="1" applyBorder="1"/>
    <xf numFmtId="164" fontId="0" fillId="0" borderId="31" xfId="0" applyNumberFormat="1" applyBorder="1" applyAlignment="1" applyProtection="1">
      <alignment horizontal="center"/>
      <protection locked="0"/>
    </xf>
    <xf numFmtId="164" fontId="0" fillId="3" borderId="31" xfId="0" applyNumberFormat="1" applyFill="1" applyBorder="1" applyAlignment="1" applyProtection="1">
      <alignment horizontal="center"/>
      <protection locked="0"/>
    </xf>
    <xf numFmtId="164" fontId="0" fillId="0" borderId="38" xfId="0" applyNumberFormat="1" applyBorder="1" applyAlignment="1" applyProtection="1">
      <alignment horizontal="center"/>
      <protection locked="0"/>
    </xf>
    <xf numFmtId="164" fontId="0" fillId="3" borderId="38" xfId="0" applyNumberFormat="1" applyFill="1" applyBorder="1" applyAlignment="1" applyProtection="1">
      <alignment horizontal="center"/>
      <protection locked="0"/>
    </xf>
    <xf numFmtId="164" fontId="5" fillId="0" borderId="21" xfId="0" applyNumberFormat="1" applyFont="1" applyBorder="1" applyAlignment="1">
      <alignment horizontal="center"/>
    </xf>
    <xf numFmtId="164" fontId="5" fillId="0" borderId="21" xfId="0" applyNumberFormat="1" applyFont="1" applyBorder="1"/>
    <xf numFmtId="164" fontId="5" fillId="0" borderId="23" xfId="0" applyNumberFormat="1" applyFont="1" applyBorder="1"/>
    <xf numFmtId="164" fontId="5" fillId="0" borderId="6" xfId="0" applyNumberFormat="1" applyFont="1" applyBorder="1"/>
    <xf numFmtId="164" fontId="5" fillId="0" borderId="8" xfId="0" applyNumberFormat="1" applyFont="1" applyBorder="1"/>
    <xf numFmtId="0" fontId="5" fillId="4" borderId="39" xfId="0" applyFont="1" applyFill="1" applyBorder="1"/>
    <xf numFmtId="0" fontId="0" fillId="15" borderId="42" xfId="0" applyFill="1" applyBorder="1"/>
    <xf numFmtId="0" fontId="0" fillId="16" borderId="42" xfId="0" applyFill="1" applyBorder="1"/>
    <xf numFmtId="0" fontId="9" fillId="3" borderId="42" xfId="0" applyFont="1" applyFill="1" applyBorder="1"/>
    <xf numFmtId="0" fontId="16" fillId="0" borderId="40" xfId="0" applyFont="1" applyBorder="1" applyProtection="1">
      <protection locked="0"/>
    </xf>
    <xf numFmtId="0" fontId="9" fillId="16" borderId="40" xfId="0" applyFont="1" applyFill="1" applyBorder="1"/>
    <xf numFmtId="0" fontId="5" fillId="16" borderId="41" xfId="0" applyFont="1" applyFill="1" applyBorder="1"/>
    <xf numFmtId="0" fontId="5" fillId="15" borderId="44" xfId="0" applyFont="1" applyFill="1" applyBorder="1"/>
    <xf numFmtId="0" fontId="5" fillId="10" borderId="44" xfId="0" applyFont="1" applyFill="1" applyBorder="1"/>
    <xf numFmtId="0" fontId="19" fillId="9" borderId="44" xfId="0" applyFont="1" applyFill="1" applyBorder="1"/>
    <xf numFmtId="0" fontId="23" fillId="3" borderId="6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2" fillId="2" borderId="10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3" fillId="3" borderId="31" xfId="0" applyFont="1" applyFill="1" applyBorder="1" applyAlignment="1">
      <alignment horizontal="center"/>
    </xf>
    <xf numFmtId="0" fontId="23" fillId="2" borderId="31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25" fillId="3" borderId="10" xfId="0" applyFont="1" applyFill="1" applyBorder="1" applyAlignment="1">
      <alignment horizontal="center"/>
    </xf>
    <xf numFmtId="0" fontId="25" fillId="2" borderId="10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6" fillId="3" borderId="6" xfId="0" applyFont="1" applyFill="1" applyBorder="1" applyAlignment="1">
      <alignment horizontal="center"/>
    </xf>
    <xf numFmtId="0" fontId="26" fillId="3" borderId="31" xfId="0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164" fontId="0" fillId="0" borderId="6" xfId="0" applyNumberFormat="1" applyBorder="1" applyAlignment="1" applyProtection="1">
      <alignment horizontal="center"/>
      <protection locked="0" hidden="1"/>
    </xf>
    <xf numFmtId="164" fontId="0" fillId="0" borderId="1" xfId="0" applyNumberFormat="1" applyBorder="1" applyAlignment="1" applyProtection="1">
      <alignment horizontal="center"/>
      <protection locked="0" hidden="1"/>
    </xf>
    <xf numFmtId="164" fontId="0" fillId="3" borderId="6" xfId="0" applyNumberFormat="1" applyFill="1" applyBorder="1" applyAlignment="1" applyProtection="1">
      <alignment horizontal="center"/>
      <protection locked="0" hidden="1"/>
    </xf>
    <xf numFmtId="164" fontId="0" fillId="3" borderId="1" xfId="0" applyNumberFormat="1" applyFill="1" applyBorder="1" applyAlignment="1" applyProtection="1">
      <alignment horizontal="center"/>
      <protection locked="0" hidden="1"/>
    </xf>
    <xf numFmtId="164" fontId="0" fillId="3" borderId="7" xfId="0" applyNumberFormat="1" applyFill="1" applyBorder="1" applyAlignment="1" applyProtection="1">
      <alignment horizontal="center"/>
      <protection locked="0" hidden="1"/>
    </xf>
    <xf numFmtId="164" fontId="0" fillId="0" borderId="8" xfId="0" applyNumberFormat="1" applyBorder="1" applyAlignment="1" applyProtection="1">
      <alignment horizontal="center"/>
      <protection locked="0" hidden="1"/>
    </xf>
    <xf numFmtId="164" fontId="0" fillId="0" borderId="11" xfId="0" applyNumberFormat="1" applyBorder="1" applyAlignment="1" applyProtection="1">
      <alignment horizontal="center"/>
      <protection locked="0" hidden="1"/>
    </xf>
    <xf numFmtId="164" fontId="0" fillId="3" borderId="8" xfId="0" applyNumberFormat="1" applyFill="1" applyBorder="1" applyAlignment="1" applyProtection="1">
      <alignment horizontal="center"/>
      <protection locked="0" hidden="1"/>
    </xf>
    <xf numFmtId="164" fontId="0" fillId="3" borderId="11" xfId="0" applyNumberFormat="1" applyFill="1" applyBorder="1" applyAlignment="1" applyProtection="1">
      <alignment horizontal="center"/>
      <protection locked="0" hidden="1"/>
    </xf>
    <xf numFmtId="164" fontId="0" fillId="3" borderId="9" xfId="0" applyNumberFormat="1" applyFill="1" applyBorder="1" applyAlignment="1" applyProtection="1">
      <alignment horizontal="center"/>
      <protection locked="0" hidden="1"/>
    </xf>
    <xf numFmtId="164" fontId="0" fillId="0" borderId="7" xfId="0" applyNumberFormat="1" applyBorder="1" applyAlignment="1" applyProtection="1">
      <alignment horizontal="center"/>
      <protection locked="0" hidden="1"/>
    </xf>
    <xf numFmtId="164" fontId="0" fillId="0" borderId="9" xfId="0" applyNumberFormat="1" applyBorder="1" applyAlignment="1" applyProtection="1">
      <alignment horizontal="center"/>
      <protection locked="0" hidden="1"/>
    </xf>
    <xf numFmtId="0" fontId="33" fillId="3" borderId="1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2" borderId="44" xfId="0" applyFont="1" applyFill="1" applyBorder="1" applyAlignment="1">
      <alignment horizontal="center"/>
    </xf>
    <xf numFmtId="0" fontId="5" fillId="12" borderId="41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9" fillId="6" borderId="20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/>
    </xf>
    <xf numFmtId="0" fontId="25" fillId="6" borderId="47" xfId="0" applyFont="1" applyFill="1" applyBorder="1" applyAlignment="1">
      <alignment horizontal="center" vertical="center"/>
    </xf>
    <xf numFmtId="0" fontId="9" fillId="6" borderId="54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/>
    </xf>
    <xf numFmtId="0" fontId="8" fillId="12" borderId="10" xfId="0" applyFont="1" applyFill="1" applyBorder="1" applyAlignment="1">
      <alignment horizontal="center"/>
    </xf>
    <xf numFmtId="0" fontId="8" fillId="12" borderId="6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2" borderId="35" xfId="0" applyFont="1" applyFill="1" applyBorder="1" applyAlignment="1">
      <alignment horizontal="center" vertical="center"/>
    </xf>
    <xf numFmtId="0" fontId="9" fillId="12" borderId="5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29" fillId="12" borderId="4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7" fillId="12" borderId="35" xfId="0" applyFont="1" applyFill="1" applyBorder="1" applyAlignment="1">
      <alignment horizontal="center" vertical="center"/>
    </xf>
    <xf numFmtId="0" fontId="24" fillId="12" borderId="35" xfId="0" applyFont="1" applyFill="1" applyBorder="1" applyAlignment="1">
      <alignment horizontal="center" vertical="center"/>
    </xf>
    <xf numFmtId="0" fontId="24" fillId="12" borderId="55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/>
    </xf>
    <xf numFmtId="0" fontId="22" fillId="3" borderId="16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15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/>
    </xf>
    <xf numFmtId="0" fontId="22" fillId="2" borderId="16" xfId="0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/>
    </xf>
    <xf numFmtId="0" fontId="11" fillId="12" borderId="10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5" fillId="12" borderId="3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10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2" fillId="6" borderId="13" xfId="0" applyFont="1" applyFill="1" applyBorder="1" applyAlignment="1">
      <alignment horizontal="center" vertical="center"/>
    </xf>
    <xf numFmtId="0" fontId="22" fillId="6" borderId="1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9" fillId="6" borderId="30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/>
    </xf>
    <xf numFmtId="0" fontId="9" fillId="3" borderId="3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0" fontId="20" fillId="8" borderId="1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22" fillId="8" borderId="54" xfId="0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center" vertical="center"/>
    </xf>
    <xf numFmtId="0" fontId="22" fillId="8" borderId="5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5" fillId="8" borderId="37" xfId="0" applyFont="1" applyFill="1" applyBorder="1" applyAlignment="1">
      <alignment horizontal="center"/>
    </xf>
    <xf numFmtId="0" fontId="5" fillId="8" borderId="25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9" fillId="11" borderId="50" xfId="0" applyFont="1" applyFill="1" applyBorder="1" applyAlignment="1">
      <alignment horizontal="center" vertical="center"/>
    </xf>
    <xf numFmtId="0" fontId="9" fillId="11" borderId="51" xfId="0" applyFont="1" applyFill="1" applyBorder="1" applyAlignment="1">
      <alignment horizontal="center" vertical="center"/>
    </xf>
    <xf numFmtId="0" fontId="9" fillId="11" borderId="23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9" fillId="11" borderId="30" xfId="0" applyFont="1" applyFill="1" applyBorder="1" applyAlignment="1">
      <alignment horizontal="center" vertical="center"/>
    </xf>
    <xf numFmtId="0" fontId="9" fillId="11" borderId="27" xfId="0" applyFont="1" applyFill="1" applyBorder="1" applyAlignment="1">
      <alignment horizontal="center" vertical="center"/>
    </xf>
    <xf numFmtId="0" fontId="9" fillId="11" borderId="28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/>
    </xf>
    <xf numFmtId="0" fontId="20" fillId="11" borderId="1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22" fillId="11" borderId="45" xfId="0" applyFont="1" applyFill="1" applyBorder="1" applyAlignment="1">
      <alignment horizontal="center" vertical="center"/>
    </xf>
    <xf numFmtId="0" fontId="22" fillId="11" borderId="46" xfId="0" applyFont="1" applyFill="1" applyBorder="1" applyAlignment="1">
      <alignment horizontal="center" vertical="center"/>
    </xf>
    <xf numFmtId="0" fontId="22" fillId="11" borderId="47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/>
    </xf>
    <xf numFmtId="0" fontId="11" fillId="11" borderId="16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5" fillId="11" borderId="30" xfId="0" applyFont="1" applyFill="1" applyBorder="1" applyAlignment="1">
      <alignment horizontal="right"/>
    </xf>
    <xf numFmtId="0" fontId="5" fillId="11" borderId="27" xfId="0" applyFont="1" applyFill="1" applyBorder="1" applyAlignment="1">
      <alignment horizontal="right"/>
    </xf>
    <xf numFmtId="0" fontId="5" fillId="11" borderId="28" xfId="0" applyFont="1" applyFill="1" applyBorder="1" applyAlignment="1">
      <alignment horizontal="right"/>
    </xf>
    <xf numFmtId="0" fontId="8" fillId="17" borderId="4" xfId="0" applyFont="1" applyFill="1" applyBorder="1" applyAlignment="1">
      <alignment horizontal="center"/>
    </xf>
    <xf numFmtId="0" fontId="8" fillId="17" borderId="16" xfId="0" applyFont="1" applyFill="1" applyBorder="1" applyAlignment="1">
      <alignment horizontal="center"/>
    </xf>
    <xf numFmtId="0" fontId="8" fillId="17" borderId="6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9" fillId="17" borderId="20" xfId="0" applyFont="1" applyFill="1" applyBorder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28" xfId="0" applyFont="1" applyFill="1" applyBorder="1" applyAlignment="1">
      <alignment horizontal="center" vertical="center"/>
    </xf>
    <xf numFmtId="0" fontId="9" fillId="17" borderId="51" xfId="0" applyFont="1" applyFill="1" applyBorder="1" applyAlignment="1">
      <alignment horizontal="center" vertical="center"/>
    </xf>
    <xf numFmtId="0" fontId="9" fillId="17" borderId="23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/>
    </xf>
    <xf numFmtId="0" fontId="20" fillId="17" borderId="16" xfId="0" applyFont="1" applyFill="1" applyBorder="1" applyAlignment="1">
      <alignment horizontal="center"/>
    </xf>
    <xf numFmtId="0" fontId="20" fillId="17" borderId="6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center"/>
    </xf>
    <xf numFmtId="0" fontId="22" fillId="17" borderId="54" xfId="0" applyFont="1" applyFill="1" applyBorder="1" applyAlignment="1">
      <alignment horizontal="center" vertical="center"/>
    </xf>
    <xf numFmtId="0" fontId="22" fillId="17" borderId="35" xfId="0" applyFont="1" applyFill="1" applyBorder="1" applyAlignment="1">
      <alignment horizontal="center" vertical="center"/>
    </xf>
    <xf numFmtId="0" fontId="22" fillId="17" borderId="52" xfId="0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1" xfId="0" applyFont="1" applyFill="1" applyBorder="1" applyAlignment="1">
      <alignment horizontal="center"/>
    </xf>
    <xf numFmtId="0" fontId="5" fillId="17" borderId="29" xfId="0" applyFont="1" applyFill="1" applyBorder="1" applyAlignment="1">
      <alignment horizontal="center"/>
    </xf>
    <xf numFmtId="0" fontId="5" fillId="17" borderId="37" xfId="0" applyFont="1" applyFill="1" applyBorder="1" applyAlignment="1">
      <alignment horizontal="center"/>
    </xf>
    <xf numFmtId="0" fontId="5" fillId="17" borderId="25" xfId="0" applyFont="1" applyFill="1" applyBorder="1" applyAlignment="1">
      <alignment horizontal="center"/>
    </xf>
  </cellXfs>
  <cellStyles count="9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  <pageSetUpPr fitToPage="1"/>
  </sheetPr>
  <dimension ref="A1:M100"/>
  <sheetViews>
    <sheetView tabSelected="1" zoomScaleNormal="100" zoomScalePageLayoutView="125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M99" sqref="M99"/>
    </sheetView>
  </sheetViews>
  <sheetFormatPr defaultColWidth="10.69921875" defaultRowHeight="15.6" x14ac:dyDescent="0.3"/>
  <cols>
    <col min="1" max="1" width="4.69921875" customWidth="1"/>
    <col min="2" max="2" width="21.5" customWidth="1"/>
    <col min="3" max="3" width="8.5" customWidth="1"/>
    <col min="4" max="4" width="15.19921875" customWidth="1"/>
    <col min="5" max="5" width="8.5" customWidth="1"/>
    <col min="6" max="6" width="15.19921875" customWidth="1"/>
    <col min="7" max="7" width="8.5" customWidth="1"/>
    <col min="8" max="8" width="15.19921875" customWidth="1"/>
    <col min="9" max="9" width="8.5" customWidth="1"/>
    <col min="10" max="10" width="15.19921875" customWidth="1"/>
    <col min="11" max="11" width="8.5" customWidth="1"/>
    <col min="12" max="12" width="15.19921875" customWidth="1"/>
    <col min="13" max="13" width="21" customWidth="1"/>
  </cols>
  <sheetData>
    <row r="1" spans="1:12" ht="28.2" customHeight="1" thickBot="1" x14ac:dyDescent="0.35">
      <c r="A1" s="265" t="s">
        <v>0</v>
      </c>
      <c r="B1" s="266"/>
      <c r="C1" s="258" t="s">
        <v>78</v>
      </c>
      <c r="D1" s="211"/>
      <c r="E1" s="211"/>
      <c r="F1" s="211"/>
      <c r="G1" s="211"/>
      <c r="H1" s="211"/>
      <c r="I1" s="211"/>
      <c r="J1" s="211"/>
      <c r="K1" s="211"/>
      <c r="L1" s="212"/>
    </row>
    <row r="2" spans="1:12" ht="22.95" customHeight="1" x14ac:dyDescent="0.3">
      <c r="A2" s="267"/>
      <c r="B2" s="268"/>
      <c r="C2" s="249" t="s">
        <v>4</v>
      </c>
      <c r="D2" s="251"/>
      <c r="E2" s="269" t="s">
        <v>5</v>
      </c>
      <c r="F2" s="250"/>
      <c r="G2" s="249" t="s">
        <v>6</v>
      </c>
      <c r="H2" s="251"/>
      <c r="I2" s="270" t="s">
        <v>7</v>
      </c>
      <c r="J2" s="271"/>
      <c r="K2" s="254" t="s">
        <v>8</v>
      </c>
      <c r="L2" s="255"/>
    </row>
    <row r="3" spans="1:12" ht="22.95" customHeight="1" x14ac:dyDescent="0.3">
      <c r="A3" s="34" t="s">
        <v>9</v>
      </c>
      <c r="B3" s="35" t="s">
        <v>13</v>
      </c>
      <c r="C3" s="9" t="s">
        <v>2</v>
      </c>
      <c r="D3" s="10" t="s">
        <v>3</v>
      </c>
      <c r="E3" s="11" t="s">
        <v>10</v>
      </c>
      <c r="F3" s="12" t="s">
        <v>3</v>
      </c>
      <c r="G3" s="9" t="s">
        <v>11</v>
      </c>
      <c r="H3" s="10" t="s">
        <v>3</v>
      </c>
      <c r="I3" s="13" t="s">
        <v>12</v>
      </c>
      <c r="J3" s="14" t="s">
        <v>3</v>
      </c>
      <c r="K3" s="15" t="s">
        <v>77</v>
      </c>
      <c r="L3" s="16" t="s">
        <v>3</v>
      </c>
    </row>
    <row r="4" spans="1:12" ht="22.95" customHeight="1" x14ac:dyDescent="0.3">
      <c r="A4" s="3">
        <v>1</v>
      </c>
      <c r="B4" s="40" t="str">
        <f>'SALES &amp; RATE'!B4</f>
        <v>M H BRANDY</v>
      </c>
      <c r="C4" s="184">
        <v>0</v>
      </c>
      <c r="D4" s="185">
        <v>10</v>
      </c>
      <c r="E4" s="184">
        <v>0</v>
      </c>
      <c r="F4" s="185">
        <v>11</v>
      </c>
      <c r="G4" s="184">
        <v>8</v>
      </c>
      <c r="H4" s="185">
        <v>41</v>
      </c>
      <c r="I4" s="186">
        <v>6</v>
      </c>
      <c r="J4" s="187">
        <v>70</v>
      </c>
      <c r="K4" s="186">
        <v>0</v>
      </c>
      <c r="L4" s="188">
        <v>0</v>
      </c>
    </row>
    <row r="5" spans="1:12" ht="22.95" customHeight="1" x14ac:dyDescent="0.3">
      <c r="A5" s="3">
        <v>2</v>
      </c>
      <c r="B5" s="40" t="str">
        <f>'SALES &amp; RATE'!B5</f>
        <v>MC BRANDY</v>
      </c>
      <c r="C5" s="184">
        <v>0</v>
      </c>
      <c r="D5" s="185">
        <v>14</v>
      </c>
      <c r="E5" s="184">
        <v>1</v>
      </c>
      <c r="F5" s="185">
        <v>11</v>
      </c>
      <c r="G5" s="184">
        <v>10</v>
      </c>
      <c r="H5" s="185">
        <v>97</v>
      </c>
      <c r="I5" s="186">
        <v>6</v>
      </c>
      <c r="J5" s="187">
        <v>72</v>
      </c>
      <c r="K5" s="186">
        <v>0</v>
      </c>
      <c r="L5" s="188">
        <v>0</v>
      </c>
    </row>
    <row r="6" spans="1:12" ht="22.95" customHeight="1" x14ac:dyDescent="0.3">
      <c r="A6" s="3">
        <v>3</v>
      </c>
      <c r="B6" s="40" t="str">
        <f>'SALES &amp; RATE'!B6</f>
        <v>O.C.BRANDY</v>
      </c>
      <c r="C6" s="184">
        <v>0</v>
      </c>
      <c r="D6" s="185">
        <v>0</v>
      </c>
      <c r="E6" s="184">
        <v>0</v>
      </c>
      <c r="F6" s="185">
        <v>0</v>
      </c>
      <c r="G6" s="184">
        <v>2</v>
      </c>
      <c r="H6" s="185">
        <v>89</v>
      </c>
      <c r="I6" s="186">
        <v>5</v>
      </c>
      <c r="J6" s="187">
        <v>42</v>
      </c>
      <c r="K6" s="186">
        <v>0</v>
      </c>
      <c r="L6" s="188">
        <v>0</v>
      </c>
    </row>
    <row r="7" spans="1:12" ht="22.95" customHeight="1" x14ac:dyDescent="0.3">
      <c r="A7" s="3">
        <v>4</v>
      </c>
      <c r="B7" s="40" t="str">
        <f>'SALES &amp; RATE'!B7</f>
        <v>AMRUT SILVER CUP</v>
      </c>
      <c r="C7" s="184">
        <v>0</v>
      </c>
      <c r="D7" s="185">
        <v>0</v>
      </c>
      <c r="E7" s="184">
        <v>0</v>
      </c>
      <c r="F7" s="185">
        <v>0</v>
      </c>
      <c r="G7" s="184">
        <v>8</v>
      </c>
      <c r="H7" s="185">
        <v>46</v>
      </c>
      <c r="I7" s="186">
        <v>1</v>
      </c>
      <c r="J7" s="187">
        <v>2</v>
      </c>
      <c r="K7" s="186">
        <v>0</v>
      </c>
      <c r="L7" s="188">
        <v>0</v>
      </c>
    </row>
    <row r="8" spans="1:12" ht="22.95" customHeight="1" x14ac:dyDescent="0.3">
      <c r="A8" s="3">
        <v>5</v>
      </c>
      <c r="B8" s="40" t="str">
        <f>'SALES &amp; RATE'!B8</f>
        <v>HONEY BEE BRANDY</v>
      </c>
      <c r="C8" s="184">
        <v>0</v>
      </c>
      <c r="D8" s="185">
        <v>0</v>
      </c>
      <c r="E8" s="184">
        <v>0</v>
      </c>
      <c r="F8" s="185">
        <v>0</v>
      </c>
      <c r="G8" s="184">
        <v>0</v>
      </c>
      <c r="H8" s="185">
        <v>26</v>
      </c>
      <c r="I8" s="186">
        <v>0</v>
      </c>
      <c r="J8" s="187">
        <v>54</v>
      </c>
      <c r="K8" s="186">
        <v>0</v>
      </c>
      <c r="L8" s="188">
        <v>0</v>
      </c>
    </row>
    <row r="9" spans="1:12" ht="22.95" customHeight="1" x14ac:dyDescent="0.3">
      <c r="A9" s="3">
        <v>6</v>
      </c>
      <c r="B9" s="40" t="str">
        <f>'SALES &amp; RATE'!B9</f>
        <v>O A BRANDY</v>
      </c>
      <c r="C9" s="184">
        <v>0</v>
      </c>
      <c r="D9" s="185">
        <v>3</v>
      </c>
      <c r="E9" s="184">
        <v>0</v>
      </c>
      <c r="F9" s="185">
        <v>0</v>
      </c>
      <c r="G9" s="184">
        <v>1</v>
      </c>
      <c r="H9" s="185">
        <v>92</v>
      </c>
      <c r="I9" s="186">
        <v>3</v>
      </c>
      <c r="J9" s="187">
        <v>61</v>
      </c>
      <c r="K9" s="186">
        <v>0</v>
      </c>
      <c r="L9" s="188">
        <v>0</v>
      </c>
    </row>
    <row r="10" spans="1:12" ht="22.95" customHeight="1" x14ac:dyDescent="0.3">
      <c r="A10" s="3">
        <v>7</v>
      </c>
      <c r="B10" s="40" t="str">
        <f>'SALES &amp; RATE'!B10</f>
        <v>BEJOIS BRANDY</v>
      </c>
      <c r="C10" s="184">
        <v>0</v>
      </c>
      <c r="D10" s="185">
        <v>6</v>
      </c>
      <c r="E10" s="184">
        <v>0</v>
      </c>
      <c r="F10" s="185">
        <v>0</v>
      </c>
      <c r="G10" s="184">
        <v>6</v>
      </c>
      <c r="H10" s="185">
        <v>59</v>
      </c>
      <c r="I10" s="186">
        <v>7</v>
      </c>
      <c r="J10" s="187">
        <v>19</v>
      </c>
      <c r="K10" s="186">
        <v>0</v>
      </c>
      <c r="L10" s="188">
        <v>0</v>
      </c>
    </row>
    <row r="11" spans="1:12" ht="22.95" customHeight="1" x14ac:dyDescent="0.3">
      <c r="A11" s="3">
        <v>8</v>
      </c>
      <c r="B11" s="40" t="str">
        <f>'SALES &amp; RATE'!B11</f>
        <v>MORPHIS BRANDY</v>
      </c>
      <c r="C11" s="184">
        <v>0</v>
      </c>
      <c r="D11" s="185">
        <v>0</v>
      </c>
      <c r="E11" s="184">
        <v>0</v>
      </c>
      <c r="F11" s="185">
        <v>0</v>
      </c>
      <c r="G11" s="184">
        <v>0</v>
      </c>
      <c r="H11" s="185">
        <v>35</v>
      </c>
      <c r="I11" s="186">
        <v>0</v>
      </c>
      <c r="J11" s="187">
        <v>0</v>
      </c>
      <c r="K11" s="186">
        <v>0</v>
      </c>
      <c r="L11" s="188">
        <v>33</v>
      </c>
    </row>
    <row r="12" spans="1:12" ht="22.95" customHeight="1" x14ac:dyDescent="0.3">
      <c r="A12" s="3">
        <v>9</v>
      </c>
      <c r="B12" s="40" t="str">
        <f>'SALES &amp; RATE'!B12</f>
        <v>M C WHISKY</v>
      </c>
      <c r="C12" s="184">
        <v>0</v>
      </c>
      <c r="D12" s="185">
        <v>10</v>
      </c>
      <c r="E12" s="184">
        <v>0</v>
      </c>
      <c r="F12" s="185">
        <v>15</v>
      </c>
      <c r="G12" s="184">
        <v>1</v>
      </c>
      <c r="H12" s="185">
        <v>52</v>
      </c>
      <c r="I12" s="186">
        <v>1</v>
      </c>
      <c r="J12" s="187">
        <v>95</v>
      </c>
      <c r="K12" s="186">
        <v>0</v>
      </c>
      <c r="L12" s="188">
        <v>0</v>
      </c>
    </row>
    <row r="13" spans="1:12" ht="22.95" customHeight="1" x14ac:dyDescent="0.3">
      <c r="A13" s="3">
        <v>10</v>
      </c>
      <c r="B13" s="40" t="str">
        <f>'SALES &amp; RATE'!B13</f>
        <v>BAGPIPER (W)</v>
      </c>
      <c r="C13" s="184">
        <v>0</v>
      </c>
      <c r="D13" s="185">
        <v>11</v>
      </c>
      <c r="E13" s="184">
        <v>0</v>
      </c>
      <c r="F13" s="185">
        <v>9</v>
      </c>
      <c r="G13" s="184">
        <v>16</v>
      </c>
      <c r="H13" s="185">
        <v>51</v>
      </c>
      <c r="I13" s="186">
        <v>4</v>
      </c>
      <c r="J13" s="187">
        <v>49</v>
      </c>
      <c r="K13" s="186">
        <v>0</v>
      </c>
      <c r="L13" s="188">
        <v>0</v>
      </c>
    </row>
    <row r="14" spans="1:12" ht="22.95" customHeight="1" x14ac:dyDescent="0.3">
      <c r="A14" s="3">
        <v>11</v>
      </c>
      <c r="B14" s="40" t="str">
        <f>'SALES &amp; RATE'!B14</f>
        <v>SIGNATURE (W)</v>
      </c>
      <c r="C14" s="184">
        <v>0</v>
      </c>
      <c r="D14" s="185">
        <v>0</v>
      </c>
      <c r="E14" s="184">
        <v>0</v>
      </c>
      <c r="F14" s="185">
        <v>0</v>
      </c>
      <c r="G14" s="184">
        <v>0</v>
      </c>
      <c r="H14" s="185">
        <v>31</v>
      </c>
      <c r="I14" s="186">
        <v>0</v>
      </c>
      <c r="J14" s="187">
        <v>0</v>
      </c>
      <c r="K14" s="186">
        <v>0</v>
      </c>
      <c r="L14" s="188">
        <v>0</v>
      </c>
    </row>
    <row r="15" spans="1:12" ht="22.95" customHeight="1" x14ac:dyDescent="0.3">
      <c r="A15" s="3">
        <v>12</v>
      </c>
      <c r="B15" s="40" t="str">
        <f>'SALES &amp; RATE'!B15</f>
        <v>O T WHISKY</v>
      </c>
      <c r="C15" s="184">
        <v>0</v>
      </c>
      <c r="D15" s="185">
        <v>0</v>
      </c>
      <c r="E15" s="184">
        <v>0</v>
      </c>
      <c r="F15" s="185">
        <v>0</v>
      </c>
      <c r="G15" s="184">
        <v>2</v>
      </c>
      <c r="H15" s="185">
        <v>23</v>
      </c>
      <c r="I15" s="186">
        <v>0</v>
      </c>
      <c r="J15" s="187">
        <v>99</v>
      </c>
      <c r="K15" s="186">
        <v>0</v>
      </c>
      <c r="L15" s="188">
        <v>0</v>
      </c>
    </row>
    <row r="16" spans="1:12" ht="22.95" customHeight="1" x14ac:dyDescent="0.3">
      <c r="A16" s="3">
        <v>13</v>
      </c>
      <c r="B16" s="40" t="str">
        <f>'SALES &amp; RATE'!B16</f>
        <v>DSP BLACK(W)</v>
      </c>
      <c r="C16" s="184">
        <v>0</v>
      </c>
      <c r="D16" s="185">
        <v>8</v>
      </c>
      <c r="E16" s="184">
        <v>0</v>
      </c>
      <c r="F16" s="185">
        <v>4</v>
      </c>
      <c r="G16" s="184">
        <v>4</v>
      </c>
      <c r="H16" s="185">
        <v>54</v>
      </c>
      <c r="I16" s="186">
        <v>4</v>
      </c>
      <c r="J16" s="187">
        <v>65</v>
      </c>
      <c r="K16" s="186">
        <v>0</v>
      </c>
      <c r="L16" s="188">
        <v>0</v>
      </c>
    </row>
    <row r="17" spans="1:12" ht="22.95" customHeight="1" x14ac:dyDescent="0.3">
      <c r="A17" s="3">
        <v>14</v>
      </c>
      <c r="B17" s="40" t="str">
        <f>'SALES &amp; RATE'!B17</f>
        <v>O C WHISKY</v>
      </c>
      <c r="C17" s="184">
        <v>0</v>
      </c>
      <c r="D17" s="185">
        <v>0</v>
      </c>
      <c r="E17" s="184">
        <v>0</v>
      </c>
      <c r="F17" s="185">
        <v>0</v>
      </c>
      <c r="G17" s="184">
        <v>11</v>
      </c>
      <c r="H17" s="185">
        <v>73</v>
      </c>
      <c r="I17" s="186">
        <v>5</v>
      </c>
      <c r="J17" s="187">
        <v>85</v>
      </c>
      <c r="K17" s="186">
        <v>0</v>
      </c>
      <c r="L17" s="188">
        <v>0</v>
      </c>
    </row>
    <row r="18" spans="1:12" ht="22.95" customHeight="1" x14ac:dyDescent="0.3">
      <c r="A18" s="3">
        <v>15</v>
      </c>
      <c r="B18" s="40" t="str">
        <f>'SALES &amp; RATE'!B18</f>
        <v>R C WHISKY</v>
      </c>
      <c r="C18" s="184">
        <v>0</v>
      </c>
      <c r="D18" s="185">
        <v>0</v>
      </c>
      <c r="E18" s="184">
        <v>0</v>
      </c>
      <c r="F18" s="185">
        <v>0</v>
      </c>
      <c r="G18" s="184">
        <v>0</v>
      </c>
      <c r="H18" s="185">
        <v>0</v>
      </c>
      <c r="I18" s="186">
        <v>0</v>
      </c>
      <c r="J18" s="187">
        <v>0</v>
      </c>
      <c r="K18" s="186">
        <v>0</v>
      </c>
      <c r="L18" s="188">
        <v>0</v>
      </c>
    </row>
    <row r="19" spans="1:12" ht="22.95" customHeight="1" x14ac:dyDescent="0.3">
      <c r="A19" s="3">
        <v>16</v>
      </c>
      <c r="B19" s="40" t="str">
        <f>'SALES &amp; RATE'!B19</f>
        <v>BLENDERS PRIDE</v>
      </c>
      <c r="C19" s="184">
        <v>0</v>
      </c>
      <c r="D19" s="185">
        <v>0</v>
      </c>
      <c r="E19" s="184">
        <v>0</v>
      </c>
      <c r="F19" s="185">
        <v>0</v>
      </c>
      <c r="G19" s="184">
        <v>0</v>
      </c>
      <c r="H19" s="185">
        <v>30</v>
      </c>
      <c r="I19" s="186">
        <v>0</v>
      </c>
      <c r="J19" s="187">
        <v>0</v>
      </c>
      <c r="K19" s="186">
        <v>0</v>
      </c>
      <c r="L19" s="188">
        <v>15</v>
      </c>
    </row>
    <row r="20" spans="1:12" ht="22.95" customHeight="1" x14ac:dyDescent="0.3">
      <c r="A20" s="3">
        <v>17</v>
      </c>
      <c r="B20" s="40" t="str">
        <f>'SALES &amp; RATE'!B20</f>
        <v>AFTER DARK</v>
      </c>
      <c r="C20" s="184">
        <v>0</v>
      </c>
      <c r="D20" s="185">
        <v>0</v>
      </c>
      <c r="E20" s="184">
        <v>0</v>
      </c>
      <c r="F20" s="185">
        <v>0</v>
      </c>
      <c r="G20" s="184">
        <v>0</v>
      </c>
      <c r="H20" s="185">
        <v>0</v>
      </c>
      <c r="I20" s="186">
        <v>0</v>
      </c>
      <c r="J20" s="187">
        <v>0</v>
      </c>
      <c r="K20" s="186">
        <v>0</v>
      </c>
      <c r="L20" s="188">
        <v>0</v>
      </c>
    </row>
    <row r="21" spans="1:12" ht="22.95" customHeight="1" x14ac:dyDescent="0.3">
      <c r="A21" s="3">
        <v>18</v>
      </c>
      <c r="B21" s="40" t="str">
        <f>'SALES &amp; RATE'!B21</f>
        <v>B'LORE MALT (W)</v>
      </c>
      <c r="C21" s="184">
        <v>0</v>
      </c>
      <c r="D21" s="185">
        <v>0</v>
      </c>
      <c r="E21" s="184">
        <v>0</v>
      </c>
      <c r="F21" s="185">
        <v>0</v>
      </c>
      <c r="G21" s="184">
        <v>4</v>
      </c>
      <c r="H21" s="185">
        <v>46</v>
      </c>
      <c r="I21" s="186">
        <v>3</v>
      </c>
      <c r="J21" s="187">
        <v>20</v>
      </c>
      <c r="K21" s="186">
        <v>0</v>
      </c>
      <c r="L21" s="188">
        <v>0</v>
      </c>
    </row>
    <row r="22" spans="1:12" ht="22.95" customHeight="1" x14ac:dyDescent="0.3">
      <c r="A22" s="3">
        <v>19</v>
      </c>
      <c r="B22" s="40">
        <f>'SALES &amp; RATE'!B22</f>
        <v>0</v>
      </c>
      <c r="C22" s="184">
        <v>0</v>
      </c>
      <c r="D22" s="185">
        <v>0</v>
      </c>
      <c r="E22" s="184">
        <v>0</v>
      </c>
      <c r="F22" s="185">
        <v>0</v>
      </c>
      <c r="G22" s="184">
        <v>0</v>
      </c>
      <c r="H22" s="185">
        <v>0</v>
      </c>
      <c r="I22" s="186">
        <v>0</v>
      </c>
      <c r="J22" s="187">
        <v>0</v>
      </c>
      <c r="K22" s="186">
        <v>0</v>
      </c>
      <c r="L22" s="188">
        <v>0</v>
      </c>
    </row>
    <row r="23" spans="1:12" ht="22.95" customHeight="1" x14ac:dyDescent="0.3">
      <c r="A23" s="3">
        <v>20</v>
      </c>
      <c r="B23" s="40" t="str">
        <f>'SALES &amp; RATE'!B23</f>
        <v>ROYAL STAGE</v>
      </c>
      <c r="C23" s="184">
        <v>0</v>
      </c>
      <c r="D23" s="185">
        <v>5</v>
      </c>
      <c r="E23" s="184">
        <v>0</v>
      </c>
      <c r="F23" s="185">
        <v>11</v>
      </c>
      <c r="G23" s="184">
        <v>0</v>
      </c>
      <c r="H23" s="185">
        <v>22</v>
      </c>
      <c r="I23" s="186">
        <v>0</v>
      </c>
      <c r="J23" s="187">
        <v>90</v>
      </c>
      <c r="K23" s="186">
        <v>0</v>
      </c>
      <c r="L23" s="188">
        <v>0</v>
      </c>
    </row>
    <row r="24" spans="1:12" ht="22.95" customHeight="1" x14ac:dyDescent="0.3">
      <c r="A24" s="3">
        <v>21</v>
      </c>
      <c r="B24" s="40" t="str">
        <f>'SALES &amp; RATE'!B24</f>
        <v>HAYWARDS(W)</v>
      </c>
      <c r="C24" s="184">
        <v>0</v>
      </c>
      <c r="D24" s="185">
        <v>0</v>
      </c>
      <c r="E24" s="184">
        <v>0</v>
      </c>
      <c r="F24" s="185">
        <v>0</v>
      </c>
      <c r="G24" s="184">
        <v>5</v>
      </c>
      <c r="H24" s="185">
        <v>33</v>
      </c>
      <c r="I24" s="186">
        <v>3</v>
      </c>
      <c r="J24" s="187">
        <v>48</v>
      </c>
      <c r="K24" s="186">
        <v>0</v>
      </c>
      <c r="L24" s="188">
        <v>0</v>
      </c>
    </row>
    <row r="25" spans="1:12" ht="22.95" customHeight="1" x14ac:dyDescent="0.3">
      <c r="A25" s="3">
        <v>22</v>
      </c>
      <c r="B25" s="40" t="str">
        <f>'SALES &amp; RATE'!B25</f>
        <v xml:space="preserve">CNB RED </v>
      </c>
      <c r="C25" s="184">
        <v>0</v>
      </c>
      <c r="D25" s="185">
        <v>0</v>
      </c>
      <c r="E25" s="184">
        <v>0</v>
      </c>
      <c r="F25" s="185">
        <v>0</v>
      </c>
      <c r="G25" s="184">
        <v>0</v>
      </c>
      <c r="H25" s="185">
        <v>17</v>
      </c>
      <c r="I25" s="186">
        <v>0</v>
      </c>
      <c r="J25" s="187">
        <v>78</v>
      </c>
      <c r="K25" s="186">
        <v>0</v>
      </c>
      <c r="L25" s="188">
        <v>0</v>
      </c>
    </row>
    <row r="26" spans="1:12" ht="22.95" customHeight="1" x14ac:dyDescent="0.3">
      <c r="A26" s="3">
        <v>23</v>
      </c>
      <c r="B26" s="40" t="str">
        <f>'SALES &amp; RATE'!B26</f>
        <v>8.PM (W)</v>
      </c>
      <c r="C26" s="184">
        <v>0</v>
      </c>
      <c r="D26" s="185">
        <v>4</v>
      </c>
      <c r="E26" s="184">
        <v>0</v>
      </c>
      <c r="F26" s="185">
        <v>3</v>
      </c>
      <c r="G26" s="184">
        <v>0</v>
      </c>
      <c r="H26" s="185">
        <v>73</v>
      </c>
      <c r="I26" s="186">
        <v>1</v>
      </c>
      <c r="J26" s="187">
        <v>196</v>
      </c>
      <c r="K26" s="186">
        <v>0</v>
      </c>
      <c r="L26" s="188">
        <v>0</v>
      </c>
    </row>
    <row r="27" spans="1:12" ht="22.95" customHeight="1" x14ac:dyDescent="0.3">
      <c r="A27" s="3">
        <v>24</v>
      </c>
      <c r="B27" s="40" t="str">
        <f>'SALES &amp; RATE'!B27</f>
        <v>IMPERIAL BLUE(W)</v>
      </c>
      <c r="C27" s="184">
        <v>0</v>
      </c>
      <c r="D27" s="185">
        <v>2</v>
      </c>
      <c r="E27" s="184">
        <v>0</v>
      </c>
      <c r="F27" s="185">
        <v>24</v>
      </c>
      <c r="G27" s="184">
        <v>5</v>
      </c>
      <c r="H27" s="185">
        <v>29</v>
      </c>
      <c r="I27" s="186">
        <v>4</v>
      </c>
      <c r="J27" s="187">
        <v>57</v>
      </c>
      <c r="K27" s="186">
        <v>0</v>
      </c>
      <c r="L27" s="188">
        <v>0</v>
      </c>
    </row>
    <row r="28" spans="1:12" ht="22.95" customHeight="1" x14ac:dyDescent="0.3">
      <c r="A28" s="3">
        <v>25</v>
      </c>
      <c r="B28" s="40" t="str">
        <f>'SALES &amp; RATE'!B28</f>
        <v>BLACK DOG(8)YRS</v>
      </c>
      <c r="C28" s="184">
        <v>0</v>
      </c>
      <c r="D28" s="185">
        <v>0</v>
      </c>
      <c r="E28" s="184">
        <v>0</v>
      </c>
      <c r="F28" s="185">
        <v>0</v>
      </c>
      <c r="G28" s="184">
        <v>0</v>
      </c>
      <c r="H28" s="185">
        <v>13</v>
      </c>
      <c r="I28" s="186">
        <v>0</v>
      </c>
      <c r="J28" s="187">
        <v>0</v>
      </c>
      <c r="K28" s="186">
        <v>0</v>
      </c>
      <c r="L28" s="188">
        <v>0</v>
      </c>
    </row>
    <row r="29" spans="1:12" ht="22.95" customHeight="1" x14ac:dyDescent="0.3">
      <c r="A29" s="3">
        <v>26</v>
      </c>
      <c r="B29" s="40" t="str">
        <f>'SALES &amp; RATE'!B29</f>
        <v>100 PIPERS</v>
      </c>
      <c r="C29" s="184">
        <v>0</v>
      </c>
      <c r="D29" s="185">
        <v>0</v>
      </c>
      <c r="E29" s="184">
        <v>0</v>
      </c>
      <c r="F29" s="185">
        <v>0</v>
      </c>
      <c r="G29" s="184">
        <v>0</v>
      </c>
      <c r="H29" s="185">
        <v>15</v>
      </c>
      <c r="I29" s="186">
        <v>0</v>
      </c>
      <c r="J29" s="187">
        <v>0</v>
      </c>
      <c r="K29" s="186">
        <v>0</v>
      </c>
      <c r="L29" s="188">
        <v>22</v>
      </c>
    </row>
    <row r="30" spans="1:12" ht="22.95" customHeight="1" x14ac:dyDescent="0.3">
      <c r="A30" s="3">
        <v>27</v>
      </c>
      <c r="B30" s="40" t="str">
        <f>'SALES &amp; RATE'!B30</f>
        <v>8.PM (W) BLUE</v>
      </c>
      <c r="C30" s="184">
        <v>0</v>
      </c>
      <c r="D30" s="185">
        <v>0</v>
      </c>
      <c r="E30" s="184">
        <v>0</v>
      </c>
      <c r="F30" s="185">
        <v>0</v>
      </c>
      <c r="G30" s="184">
        <v>0</v>
      </c>
      <c r="H30" s="185">
        <v>0</v>
      </c>
      <c r="I30" s="186">
        <v>0</v>
      </c>
      <c r="J30" s="187">
        <v>0</v>
      </c>
      <c r="K30" s="186">
        <v>0</v>
      </c>
      <c r="L30" s="188">
        <v>0</v>
      </c>
    </row>
    <row r="31" spans="1:12" ht="22.95" customHeight="1" x14ac:dyDescent="0.3">
      <c r="A31" s="3">
        <v>28</v>
      </c>
      <c r="B31" s="40" t="str">
        <f>'SALES &amp; RATE'!B31</f>
        <v>TEACHERS HIGH</v>
      </c>
      <c r="C31" s="184">
        <v>0</v>
      </c>
      <c r="D31" s="185">
        <v>0</v>
      </c>
      <c r="E31" s="184">
        <v>0</v>
      </c>
      <c r="F31" s="185">
        <v>0</v>
      </c>
      <c r="G31" s="184">
        <v>0</v>
      </c>
      <c r="H31" s="185">
        <v>0</v>
      </c>
      <c r="I31" s="186">
        <v>0</v>
      </c>
      <c r="J31" s="187">
        <v>0</v>
      </c>
      <c r="K31" s="186">
        <v>0</v>
      </c>
      <c r="L31" s="188">
        <v>0</v>
      </c>
    </row>
    <row r="32" spans="1:12" ht="22.95" customHeight="1" x14ac:dyDescent="0.3">
      <c r="A32" s="3">
        <v>29</v>
      </c>
      <c r="B32" s="40" t="str">
        <f>'SALES &amp; RATE'!B32</f>
        <v>ANTIQUITY BLUE(W)</v>
      </c>
      <c r="C32" s="184">
        <v>0</v>
      </c>
      <c r="D32" s="185">
        <v>0</v>
      </c>
      <c r="E32" s="184">
        <v>0</v>
      </c>
      <c r="F32" s="185">
        <v>0</v>
      </c>
      <c r="G32" s="184">
        <v>0</v>
      </c>
      <c r="H32" s="185">
        <v>0</v>
      </c>
      <c r="I32" s="186">
        <v>0</v>
      </c>
      <c r="J32" s="187">
        <v>0</v>
      </c>
      <c r="K32" s="186">
        <v>0</v>
      </c>
      <c r="L32" s="188">
        <v>0</v>
      </c>
    </row>
    <row r="33" spans="1:12" ht="22.95" customHeight="1" x14ac:dyDescent="0.3">
      <c r="A33" s="3">
        <v>30</v>
      </c>
      <c r="B33" s="40">
        <f>'SALES &amp; RATE'!B33</f>
        <v>0</v>
      </c>
      <c r="C33" s="184">
        <v>0</v>
      </c>
      <c r="D33" s="185">
        <v>0</v>
      </c>
      <c r="E33" s="184">
        <v>0</v>
      </c>
      <c r="F33" s="185">
        <v>0</v>
      </c>
      <c r="G33" s="184">
        <v>0</v>
      </c>
      <c r="H33" s="185">
        <v>0</v>
      </c>
      <c r="I33" s="186">
        <v>0</v>
      </c>
      <c r="J33" s="187">
        <v>0</v>
      </c>
      <c r="K33" s="186">
        <v>0</v>
      </c>
      <c r="L33" s="188">
        <v>0</v>
      </c>
    </row>
    <row r="34" spans="1:12" ht="22.95" customHeight="1" x14ac:dyDescent="0.3">
      <c r="A34" s="3">
        <v>31</v>
      </c>
      <c r="B34" s="40" t="str">
        <f>'SALES &amp; RATE'!B34</f>
        <v>VAT 69</v>
      </c>
      <c r="C34" s="184">
        <v>0</v>
      </c>
      <c r="D34" s="185">
        <v>0</v>
      </c>
      <c r="E34" s="184">
        <v>0</v>
      </c>
      <c r="F34" s="185">
        <v>0</v>
      </c>
      <c r="G34" s="184">
        <v>0</v>
      </c>
      <c r="H34" s="185">
        <v>23</v>
      </c>
      <c r="I34" s="186">
        <v>0</v>
      </c>
      <c r="J34" s="187">
        <v>0</v>
      </c>
      <c r="K34" s="186">
        <v>0</v>
      </c>
      <c r="L34" s="188">
        <v>0</v>
      </c>
    </row>
    <row r="35" spans="1:12" ht="22.95" customHeight="1" x14ac:dyDescent="0.3">
      <c r="A35" s="3">
        <v>32</v>
      </c>
      <c r="B35" s="40" t="str">
        <f>'SALES &amp; RATE'!B35</f>
        <v>HERCULES RUM</v>
      </c>
      <c r="C35" s="184">
        <v>0</v>
      </c>
      <c r="D35" s="185">
        <v>5</v>
      </c>
      <c r="E35" s="184">
        <v>0</v>
      </c>
      <c r="F35" s="185">
        <v>21</v>
      </c>
      <c r="G35" s="184">
        <v>0</v>
      </c>
      <c r="H35" s="185">
        <v>54</v>
      </c>
      <c r="I35" s="186">
        <v>0</v>
      </c>
      <c r="J35" s="187">
        <v>0</v>
      </c>
      <c r="K35" s="186">
        <v>0</v>
      </c>
      <c r="L35" s="188">
        <v>0</v>
      </c>
    </row>
    <row r="36" spans="1:12" ht="22.95" customHeight="1" x14ac:dyDescent="0.3">
      <c r="A36" s="3">
        <v>33</v>
      </c>
      <c r="B36" s="40" t="str">
        <f>'SALES &amp; RATE'!B36</f>
        <v>M C RUM</v>
      </c>
      <c r="C36" s="184">
        <v>0</v>
      </c>
      <c r="D36" s="185">
        <v>7</v>
      </c>
      <c r="E36" s="184">
        <v>0</v>
      </c>
      <c r="F36" s="185">
        <v>19</v>
      </c>
      <c r="G36" s="184">
        <v>0</v>
      </c>
      <c r="H36" s="185">
        <v>0</v>
      </c>
      <c r="I36" s="186">
        <v>0</v>
      </c>
      <c r="J36" s="187">
        <v>0</v>
      </c>
      <c r="K36" s="186">
        <v>0</v>
      </c>
      <c r="L36" s="188">
        <v>0</v>
      </c>
    </row>
    <row r="37" spans="1:12" ht="22.95" customHeight="1" x14ac:dyDescent="0.3">
      <c r="A37" s="3">
        <v>34</v>
      </c>
      <c r="B37" s="40" t="str">
        <f>'SALES &amp; RATE'!B37</f>
        <v>OLD MONK RUM</v>
      </c>
      <c r="C37" s="184">
        <v>0</v>
      </c>
      <c r="D37" s="185">
        <v>7</v>
      </c>
      <c r="E37" s="184">
        <v>1</v>
      </c>
      <c r="F37" s="185">
        <v>9</v>
      </c>
      <c r="G37" s="184">
        <v>9</v>
      </c>
      <c r="H37" s="185">
        <v>84</v>
      </c>
      <c r="I37" s="186">
        <v>4</v>
      </c>
      <c r="J37" s="187">
        <v>50</v>
      </c>
      <c r="K37" s="186">
        <v>0</v>
      </c>
      <c r="L37" s="188">
        <v>0</v>
      </c>
    </row>
    <row r="38" spans="1:12" ht="22.95" customHeight="1" x14ac:dyDescent="0.3">
      <c r="A38" s="3">
        <v>35</v>
      </c>
      <c r="B38" s="40" t="str">
        <f>'SALES &amp; RATE'!B38</f>
        <v>MC RUM CLASSIC</v>
      </c>
      <c r="C38" s="184">
        <v>0</v>
      </c>
      <c r="D38" s="185">
        <v>0</v>
      </c>
      <c r="E38" s="184">
        <v>0</v>
      </c>
      <c r="F38" s="185">
        <v>0</v>
      </c>
      <c r="G38" s="184">
        <v>2</v>
      </c>
      <c r="H38" s="185">
        <v>49</v>
      </c>
      <c r="I38" s="186">
        <v>3</v>
      </c>
      <c r="J38" s="187">
        <v>73</v>
      </c>
      <c r="K38" s="186">
        <v>0</v>
      </c>
      <c r="L38" s="188">
        <v>0</v>
      </c>
    </row>
    <row r="39" spans="1:12" ht="22.95" customHeight="1" x14ac:dyDescent="0.3">
      <c r="A39" s="3">
        <v>36</v>
      </c>
      <c r="B39" s="40">
        <f>'SALES &amp; RATE'!B39</f>
        <v>0</v>
      </c>
      <c r="C39" s="184">
        <v>0</v>
      </c>
      <c r="D39" s="185">
        <v>0</v>
      </c>
      <c r="E39" s="184">
        <v>0</v>
      </c>
      <c r="F39" s="185">
        <v>0</v>
      </c>
      <c r="G39" s="184">
        <v>0</v>
      </c>
      <c r="H39" s="185">
        <v>0</v>
      </c>
      <c r="I39" s="186">
        <v>0</v>
      </c>
      <c r="J39" s="187">
        <v>0</v>
      </c>
      <c r="K39" s="186">
        <v>0</v>
      </c>
      <c r="L39" s="188">
        <v>0</v>
      </c>
    </row>
    <row r="40" spans="1:12" ht="22.95" customHeight="1" x14ac:dyDescent="0.3">
      <c r="A40" s="3">
        <v>37</v>
      </c>
      <c r="B40" s="40" t="str">
        <f>'SALES &amp; RATE'!B40</f>
        <v>BAGPIPER RUM</v>
      </c>
      <c r="C40" s="184">
        <v>0</v>
      </c>
      <c r="D40" s="185">
        <v>0</v>
      </c>
      <c r="E40" s="184">
        <v>0</v>
      </c>
      <c r="F40" s="185">
        <v>0</v>
      </c>
      <c r="G40" s="184">
        <v>3</v>
      </c>
      <c r="H40" s="185">
        <v>77</v>
      </c>
      <c r="I40" s="186">
        <v>5</v>
      </c>
      <c r="J40" s="187">
        <v>59</v>
      </c>
      <c r="K40" s="186">
        <v>0</v>
      </c>
      <c r="L40" s="188">
        <v>0</v>
      </c>
    </row>
    <row r="41" spans="1:12" ht="22.95" customHeight="1" x14ac:dyDescent="0.3">
      <c r="A41" s="3">
        <v>38</v>
      </c>
      <c r="B41" s="40" t="str">
        <f>'SALES &amp; RATE'!B41</f>
        <v>BACARDI  ORN+APP+LIM</v>
      </c>
      <c r="C41" s="184">
        <v>0</v>
      </c>
      <c r="D41" s="185">
        <v>2</v>
      </c>
      <c r="E41" s="184">
        <v>0</v>
      </c>
      <c r="F41" s="185">
        <v>7</v>
      </c>
      <c r="G41" s="184">
        <v>0</v>
      </c>
      <c r="H41" s="185">
        <v>36</v>
      </c>
      <c r="I41" s="186">
        <v>0</v>
      </c>
      <c r="J41" s="187">
        <v>0</v>
      </c>
      <c r="K41" s="186">
        <v>0</v>
      </c>
      <c r="L41" s="188">
        <v>19</v>
      </c>
    </row>
    <row r="42" spans="1:12" ht="22.95" customHeight="1" x14ac:dyDescent="0.3">
      <c r="A42" s="3">
        <v>39</v>
      </c>
      <c r="B42" s="40" t="str">
        <f>'SALES &amp; RATE'!B42</f>
        <v>LEGACY RUM</v>
      </c>
      <c r="C42" s="184">
        <v>0</v>
      </c>
      <c r="D42" s="185">
        <v>0</v>
      </c>
      <c r="E42" s="184">
        <v>0</v>
      </c>
      <c r="F42" s="185">
        <v>0</v>
      </c>
      <c r="G42" s="184">
        <v>4</v>
      </c>
      <c r="H42" s="185">
        <v>42</v>
      </c>
      <c r="I42" s="186">
        <v>0</v>
      </c>
      <c r="J42" s="187">
        <v>0</v>
      </c>
      <c r="K42" s="186">
        <v>0</v>
      </c>
      <c r="L42" s="188">
        <v>0</v>
      </c>
    </row>
    <row r="43" spans="1:12" ht="22.95" customHeight="1" x14ac:dyDescent="0.3">
      <c r="A43" s="3">
        <v>40</v>
      </c>
      <c r="B43" s="40" t="str">
        <f>'SALES &amp; RATE'!B43</f>
        <v>B'LORE RUM</v>
      </c>
      <c r="C43" s="184">
        <v>0</v>
      </c>
      <c r="D43" s="185">
        <v>0</v>
      </c>
      <c r="E43" s="184">
        <v>0</v>
      </c>
      <c r="F43" s="185">
        <v>0</v>
      </c>
      <c r="G43" s="184">
        <v>4</v>
      </c>
      <c r="H43" s="185">
        <v>115</v>
      </c>
      <c r="I43" s="186">
        <v>3</v>
      </c>
      <c r="J43" s="187">
        <v>25</v>
      </c>
      <c r="K43" s="186">
        <v>0</v>
      </c>
      <c r="L43" s="188">
        <v>0</v>
      </c>
    </row>
    <row r="44" spans="1:12" ht="22.95" customHeight="1" x14ac:dyDescent="0.3">
      <c r="A44" s="43">
        <v>41</v>
      </c>
      <c r="B44" s="40" t="str">
        <f>'SALES &amp; RATE'!B44</f>
        <v>AMRUT RUM</v>
      </c>
      <c r="C44" s="184">
        <v>0</v>
      </c>
      <c r="D44" s="185">
        <v>0</v>
      </c>
      <c r="E44" s="184">
        <v>0</v>
      </c>
      <c r="F44" s="185">
        <v>0</v>
      </c>
      <c r="G44" s="184">
        <v>2</v>
      </c>
      <c r="H44" s="185">
        <v>76</v>
      </c>
      <c r="I44" s="186">
        <v>4</v>
      </c>
      <c r="J44" s="187">
        <v>49</v>
      </c>
      <c r="K44" s="186">
        <v>0</v>
      </c>
      <c r="L44" s="188">
        <v>0</v>
      </c>
    </row>
    <row r="45" spans="1:12" ht="22.95" customHeight="1" x14ac:dyDescent="0.3">
      <c r="A45" s="3">
        <v>42</v>
      </c>
      <c r="B45" s="40" t="str">
        <f>'SALES &amp; RATE'!B45</f>
        <v>BLACK &amp; WHITE (8)YRS</v>
      </c>
      <c r="C45" s="184">
        <v>0</v>
      </c>
      <c r="D45" s="185">
        <v>0</v>
      </c>
      <c r="E45" s="184">
        <v>0</v>
      </c>
      <c r="F45" s="185">
        <v>0</v>
      </c>
      <c r="G45" s="184">
        <v>0</v>
      </c>
      <c r="H45" s="185">
        <v>19</v>
      </c>
      <c r="I45" s="186">
        <v>0</v>
      </c>
      <c r="J45" s="187">
        <v>0</v>
      </c>
      <c r="K45" s="186">
        <v>0</v>
      </c>
      <c r="L45" s="188">
        <v>5</v>
      </c>
    </row>
    <row r="46" spans="1:12" ht="22.95" customHeight="1" x14ac:dyDescent="0.3">
      <c r="A46" s="43">
        <v>43</v>
      </c>
      <c r="B46" s="40" t="str">
        <f>'SALES &amp; RATE'!B46</f>
        <v>COURIOR NEPOLIN BRANDY</v>
      </c>
      <c r="C46" s="184">
        <v>0</v>
      </c>
      <c r="D46" s="185">
        <v>3</v>
      </c>
      <c r="E46" s="184">
        <v>0</v>
      </c>
      <c r="F46" s="185">
        <v>0</v>
      </c>
      <c r="G46" s="184">
        <v>0</v>
      </c>
      <c r="H46" s="185">
        <v>26</v>
      </c>
      <c r="I46" s="186">
        <v>0</v>
      </c>
      <c r="J46" s="187">
        <v>0</v>
      </c>
      <c r="K46" s="186">
        <v>0</v>
      </c>
      <c r="L46" s="188">
        <v>22</v>
      </c>
    </row>
    <row r="47" spans="1:12" ht="22.95" customHeight="1" x14ac:dyDescent="0.3">
      <c r="A47" s="3">
        <v>44</v>
      </c>
      <c r="B47" s="40" t="str">
        <f>'SALES &amp; RATE'!B47</f>
        <v>FIREBALL</v>
      </c>
      <c r="C47" s="184">
        <v>0</v>
      </c>
      <c r="D47" s="185">
        <v>0</v>
      </c>
      <c r="E47" s="184">
        <v>0</v>
      </c>
      <c r="F47" s="185">
        <v>0</v>
      </c>
      <c r="G47" s="184">
        <v>0</v>
      </c>
      <c r="H47" s="185">
        <v>17</v>
      </c>
      <c r="I47" s="186">
        <v>0</v>
      </c>
      <c r="J47" s="187">
        <v>49</v>
      </c>
      <c r="K47" s="186">
        <v>0</v>
      </c>
      <c r="L47" s="188">
        <v>0</v>
      </c>
    </row>
    <row r="48" spans="1:12" ht="22.95" customHeight="1" x14ac:dyDescent="0.3">
      <c r="A48" s="43">
        <v>45</v>
      </c>
      <c r="B48" s="40" t="str">
        <f>'SALES &amp; RATE'!B48</f>
        <v>HONEY CUP BRANDY</v>
      </c>
      <c r="C48" s="184">
        <v>0</v>
      </c>
      <c r="D48" s="185">
        <v>0</v>
      </c>
      <c r="E48" s="184">
        <v>0</v>
      </c>
      <c r="F48" s="185">
        <v>0</v>
      </c>
      <c r="G48" s="184">
        <v>0</v>
      </c>
      <c r="H48" s="185">
        <v>0</v>
      </c>
      <c r="I48" s="186">
        <v>0</v>
      </c>
      <c r="J48" s="187">
        <v>61</v>
      </c>
      <c r="K48" s="186">
        <v>0</v>
      </c>
      <c r="L48" s="188">
        <v>0</v>
      </c>
    </row>
    <row r="49" spans="1:12" ht="22.95" customHeight="1" x14ac:dyDescent="0.3">
      <c r="A49" s="3">
        <v>46</v>
      </c>
      <c r="B49" s="40" t="str">
        <f>'SALES &amp; RATE'!B49</f>
        <v>ROULETTE BRANDY</v>
      </c>
      <c r="C49" s="184">
        <v>0</v>
      </c>
      <c r="D49" s="185">
        <v>0</v>
      </c>
      <c r="E49" s="184">
        <v>0</v>
      </c>
      <c r="F49" s="185">
        <v>0</v>
      </c>
      <c r="G49" s="184">
        <v>0</v>
      </c>
      <c r="H49" s="185">
        <v>0</v>
      </c>
      <c r="I49" s="186">
        <v>0</v>
      </c>
      <c r="J49" s="187">
        <v>0</v>
      </c>
      <c r="K49" s="186">
        <v>0</v>
      </c>
      <c r="L49" s="188">
        <v>0</v>
      </c>
    </row>
    <row r="50" spans="1:12" ht="22.95" customHeight="1" thickBot="1" x14ac:dyDescent="0.35">
      <c r="A50" s="41">
        <v>47</v>
      </c>
      <c r="B50" s="40">
        <f>'SALES &amp; RATE'!B50</f>
        <v>0</v>
      </c>
      <c r="C50" s="189">
        <v>0</v>
      </c>
      <c r="D50" s="190">
        <v>0</v>
      </c>
      <c r="E50" s="189">
        <v>0</v>
      </c>
      <c r="F50" s="190">
        <v>0</v>
      </c>
      <c r="G50" s="189">
        <v>0</v>
      </c>
      <c r="H50" s="190">
        <v>0</v>
      </c>
      <c r="I50" s="191">
        <v>0</v>
      </c>
      <c r="J50" s="192">
        <v>0</v>
      </c>
      <c r="K50" s="191">
        <v>0</v>
      </c>
      <c r="L50" s="193">
        <v>0</v>
      </c>
    </row>
    <row r="51" spans="1:12" ht="22.95" customHeight="1" thickBot="1" x14ac:dyDescent="0.35">
      <c r="A51" s="259" t="s">
        <v>112</v>
      </c>
      <c r="B51" s="260"/>
      <c r="C51" s="263" t="s">
        <v>119</v>
      </c>
      <c r="D51" s="263"/>
      <c r="E51" s="263"/>
      <c r="F51" s="263"/>
      <c r="G51" s="263"/>
      <c r="H51" s="263"/>
      <c r="I51" s="263"/>
      <c r="J51" s="263"/>
      <c r="K51" s="263"/>
      <c r="L51" s="264"/>
    </row>
    <row r="52" spans="1:12" ht="22.95" customHeight="1" x14ac:dyDescent="0.3">
      <c r="A52" s="261"/>
      <c r="B52" s="262"/>
      <c r="C52" s="235" t="s">
        <v>4</v>
      </c>
      <c r="D52" s="237"/>
      <c r="E52" s="238" t="s">
        <v>5</v>
      </c>
      <c r="F52" s="236"/>
      <c r="G52" s="235" t="s">
        <v>6</v>
      </c>
      <c r="H52" s="237"/>
      <c r="I52" s="241" t="s">
        <v>7</v>
      </c>
      <c r="J52" s="242"/>
      <c r="K52" s="239" t="s">
        <v>8</v>
      </c>
      <c r="L52" s="240"/>
    </row>
    <row r="53" spans="1:12" ht="22.95" customHeight="1" x14ac:dyDescent="0.3">
      <c r="A53" s="169" t="s">
        <v>9</v>
      </c>
      <c r="B53" s="170" t="s">
        <v>13</v>
      </c>
      <c r="C53" s="161" t="s">
        <v>2</v>
      </c>
      <c r="D53" s="162" t="s">
        <v>3</v>
      </c>
      <c r="E53" s="163" t="s">
        <v>10</v>
      </c>
      <c r="F53" s="164" t="s">
        <v>3</v>
      </c>
      <c r="G53" s="161" t="s">
        <v>11</v>
      </c>
      <c r="H53" s="162" t="s">
        <v>3</v>
      </c>
      <c r="I53" s="165" t="s">
        <v>12</v>
      </c>
      <c r="J53" s="166" t="s">
        <v>3</v>
      </c>
      <c r="K53" s="167" t="s">
        <v>77</v>
      </c>
      <c r="L53" s="168" t="s">
        <v>3</v>
      </c>
    </row>
    <row r="54" spans="1:12" ht="22.95" customHeight="1" x14ac:dyDescent="0.3">
      <c r="A54" s="3">
        <v>1</v>
      </c>
      <c r="B54" s="40" t="str">
        <f>'SALES &amp; RATE'!B54</f>
        <v>CARNIVAL GIN</v>
      </c>
      <c r="C54" s="184">
        <v>0</v>
      </c>
      <c r="D54" s="185">
        <v>0</v>
      </c>
      <c r="E54" s="184">
        <v>0</v>
      </c>
      <c r="F54" s="185">
        <v>0</v>
      </c>
      <c r="G54" s="184">
        <v>1</v>
      </c>
      <c r="H54" s="185">
        <v>16</v>
      </c>
      <c r="I54" s="186">
        <v>0</v>
      </c>
      <c r="J54" s="187">
        <v>82</v>
      </c>
      <c r="K54" s="186">
        <v>0</v>
      </c>
      <c r="L54" s="188">
        <v>0</v>
      </c>
    </row>
    <row r="55" spans="1:12" ht="22.95" customHeight="1" x14ac:dyDescent="0.3">
      <c r="A55" s="3">
        <v>2</v>
      </c>
      <c r="B55" s="40" t="str">
        <f>'SALES &amp; RATE'!B55</f>
        <v>SMIRNOFF VODKA</v>
      </c>
      <c r="C55" s="184">
        <v>0</v>
      </c>
      <c r="D55" s="185">
        <v>4</v>
      </c>
      <c r="E55" s="184">
        <v>0</v>
      </c>
      <c r="F55" s="185">
        <v>0</v>
      </c>
      <c r="G55" s="184">
        <v>0</v>
      </c>
      <c r="H55" s="185">
        <v>59</v>
      </c>
      <c r="I55" s="186">
        <v>0</v>
      </c>
      <c r="J55" s="187">
        <v>0</v>
      </c>
      <c r="K55" s="186">
        <v>0</v>
      </c>
      <c r="L55" s="188">
        <v>20</v>
      </c>
    </row>
    <row r="56" spans="1:12" ht="22.95" customHeight="1" x14ac:dyDescent="0.3">
      <c r="A56" s="3">
        <v>3</v>
      </c>
      <c r="B56" s="40" t="str">
        <f>'SALES &amp; RATE'!B56</f>
        <v>MUSCOVY LEMON</v>
      </c>
      <c r="C56" s="184">
        <v>0</v>
      </c>
      <c r="D56" s="185">
        <v>0</v>
      </c>
      <c r="E56" s="184">
        <v>0</v>
      </c>
      <c r="F56" s="185">
        <v>0</v>
      </c>
      <c r="G56" s="184">
        <v>0</v>
      </c>
      <c r="H56" s="185">
        <v>48</v>
      </c>
      <c r="I56" s="186">
        <v>0</v>
      </c>
      <c r="J56" s="187">
        <v>0</v>
      </c>
      <c r="K56" s="186">
        <v>0</v>
      </c>
      <c r="L56" s="188">
        <v>0</v>
      </c>
    </row>
    <row r="57" spans="1:12" ht="22.95" customHeight="1" x14ac:dyDescent="0.3">
      <c r="A57" s="3">
        <v>4</v>
      </c>
      <c r="B57" s="40" t="str">
        <f>'SALES &amp; RATE'!B57</f>
        <v>MUSCOVY VODKA</v>
      </c>
      <c r="C57" s="184">
        <v>0</v>
      </c>
      <c r="D57" s="185">
        <v>0</v>
      </c>
      <c r="E57" s="184">
        <v>0</v>
      </c>
      <c r="F57" s="185">
        <v>0</v>
      </c>
      <c r="G57" s="184">
        <v>2</v>
      </c>
      <c r="H57" s="185">
        <v>89</v>
      </c>
      <c r="I57" s="186">
        <v>0</v>
      </c>
      <c r="J57" s="187">
        <v>95</v>
      </c>
      <c r="K57" s="186">
        <v>0</v>
      </c>
      <c r="L57" s="188">
        <v>0</v>
      </c>
    </row>
    <row r="58" spans="1:12" ht="22.95" customHeight="1" x14ac:dyDescent="0.3">
      <c r="A58" s="3">
        <v>5</v>
      </c>
      <c r="B58" s="40" t="str">
        <f>'SALES &amp; RATE'!B58</f>
        <v>ROMANOV VODKA</v>
      </c>
      <c r="C58" s="184">
        <v>0</v>
      </c>
      <c r="D58" s="185">
        <v>0</v>
      </c>
      <c r="E58" s="184">
        <v>0</v>
      </c>
      <c r="F58" s="185">
        <v>0</v>
      </c>
      <c r="G58" s="184">
        <v>1</v>
      </c>
      <c r="H58" s="185">
        <v>56</v>
      </c>
      <c r="I58" s="186">
        <v>0</v>
      </c>
      <c r="J58" s="187">
        <v>96</v>
      </c>
      <c r="K58" s="186">
        <v>0</v>
      </c>
      <c r="L58" s="188">
        <v>0</v>
      </c>
    </row>
    <row r="59" spans="1:12" ht="22.95" customHeight="1" x14ac:dyDescent="0.3">
      <c r="A59" s="3">
        <v>6</v>
      </c>
      <c r="B59" s="40" t="str">
        <f>'SALES &amp; RATE'!B59</f>
        <v>GONAS WINE</v>
      </c>
      <c r="C59" s="184">
        <v>0</v>
      </c>
      <c r="D59" s="185">
        <v>0</v>
      </c>
      <c r="E59" s="184">
        <v>0</v>
      </c>
      <c r="F59" s="185">
        <v>0</v>
      </c>
      <c r="G59" s="184">
        <v>0</v>
      </c>
      <c r="H59" s="185">
        <v>39</v>
      </c>
      <c r="I59" s="186">
        <v>0</v>
      </c>
      <c r="J59" s="187">
        <v>0</v>
      </c>
      <c r="K59" s="186">
        <v>0</v>
      </c>
      <c r="L59" s="188">
        <v>0</v>
      </c>
    </row>
    <row r="60" spans="1:12" ht="22.95" customHeight="1" x14ac:dyDescent="0.3">
      <c r="A60" s="3">
        <v>7</v>
      </c>
      <c r="B60" s="40" t="str">
        <f>'SALES &amp; RATE'!B60</f>
        <v>MAGIC PORT WINE</v>
      </c>
      <c r="C60" s="184">
        <v>0</v>
      </c>
      <c r="D60" s="185">
        <v>20</v>
      </c>
      <c r="E60" s="184">
        <v>0</v>
      </c>
      <c r="F60" s="185">
        <v>24</v>
      </c>
      <c r="G60" s="184">
        <v>0</v>
      </c>
      <c r="H60" s="185">
        <v>12</v>
      </c>
      <c r="I60" s="186">
        <v>0</v>
      </c>
      <c r="J60" s="187">
        <v>0</v>
      </c>
      <c r="K60" s="186">
        <v>0</v>
      </c>
      <c r="L60" s="188">
        <v>0</v>
      </c>
    </row>
    <row r="61" spans="1:12" ht="22.95" customHeight="1" x14ac:dyDescent="0.3">
      <c r="A61" s="3">
        <v>8</v>
      </c>
      <c r="B61" s="40" t="str">
        <f>'SALES &amp; RATE'!B61</f>
        <v>SIDDUS WINE</v>
      </c>
      <c r="C61" s="184">
        <v>0</v>
      </c>
      <c r="D61" s="185">
        <v>1</v>
      </c>
      <c r="E61" s="184">
        <v>0</v>
      </c>
      <c r="F61" s="185">
        <v>1</v>
      </c>
      <c r="G61" s="184">
        <v>0</v>
      </c>
      <c r="H61" s="185">
        <v>34</v>
      </c>
      <c r="I61" s="186">
        <v>0</v>
      </c>
      <c r="J61" s="187">
        <v>0</v>
      </c>
      <c r="K61" s="186">
        <v>0</v>
      </c>
      <c r="L61" s="188">
        <v>0</v>
      </c>
    </row>
    <row r="62" spans="1:12" ht="22.95" customHeight="1" x14ac:dyDescent="0.3">
      <c r="A62" s="3">
        <v>9</v>
      </c>
      <c r="B62" s="40" t="str">
        <f>'SALES &amp; RATE'!B62</f>
        <v>VEGA WINE</v>
      </c>
      <c r="C62" s="184">
        <v>0</v>
      </c>
      <c r="D62" s="185">
        <v>0</v>
      </c>
      <c r="E62" s="184">
        <v>0</v>
      </c>
      <c r="F62" s="185">
        <v>13</v>
      </c>
      <c r="G62" s="184">
        <v>0</v>
      </c>
      <c r="H62" s="185">
        <v>0</v>
      </c>
      <c r="I62" s="186">
        <v>0</v>
      </c>
      <c r="J62" s="187">
        <v>0</v>
      </c>
      <c r="K62" s="186">
        <v>0</v>
      </c>
      <c r="L62" s="188">
        <v>0</v>
      </c>
    </row>
    <row r="63" spans="1:12" ht="22.95" customHeight="1" x14ac:dyDescent="0.3">
      <c r="A63" s="3">
        <v>10</v>
      </c>
      <c r="B63" s="40">
        <f>'SALES &amp; RATE'!B63</f>
        <v>0</v>
      </c>
      <c r="C63" s="184">
        <v>0</v>
      </c>
      <c r="D63" s="185">
        <v>0</v>
      </c>
      <c r="E63" s="184">
        <v>0</v>
      </c>
      <c r="F63" s="185">
        <v>0</v>
      </c>
      <c r="G63" s="184">
        <v>0</v>
      </c>
      <c r="H63" s="185">
        <v>0</v>
      </c>
      <c r="I63" s="186">
        <v>0</v>
      </c>
      <c r="J63" s="187">
        <v>0</v>
      </c>
      <c r="K63" s="186">
        <v>0</v>
      </c>
      <c r="L63" s="188">
        <v>0</v>
      </c>
    </row>
    <row r="64" spans="1:12" ht="22.95" customHeight="1" x14ac:dyDescent="0.3">
      <c r="A64" s="3">
        <v>11</v>
      </c>
      <c r="B64" s="40" t="str">
        <f>'SALES &amp; RATE'!B64</f>
        <v>MAGIC MOMENTS</v>
      </c>
      <c r="C64" s="184">
        <v>0</v>
      </c>
      <c r="D64" s="185">
        <v>2</v>
      </c>
      <c r="E64" s="184">
        <v>0</v>
      </c>
      <c r="F64" s="185">
        <v>0</v>
      </c>
      <c r="G64" s="184">
        <v>0</v>
      </c>
      <c r="H64" s="185">
        <v>0</v>
      </c>
      <c r="I64" s="186">
        <v>0</v>
      </c>
      <c r="J64" s="187">
        <v>0</v>
      </c>
      <c r="K64" s="186">
        <v>0</v>
      </c>
      <c r="L64" s="188">
        <v>6</v>
      </c>
    </row>
    <row r="65" spans="1:13" ht="22.95" customHeight="1" x14ac:dyDescent="0.3">
      <c r="A65" s="3">
        <v>12</v>
      </c>
      <c r="B65" s="40" t="str">
        <f>'SALES &amp; RATE'!B65</f>
        <v>BRO CODE</v>
      </c>
      <c r="C65" s="184">
        <v>0</v>
      </c>
      <c r="D65" s="185">
        <v>0</v>
      </c>
      <c r="E65" s="184">
        <v>0</v>
      </c>
      <c r="F65" s="185">
        <v>26</v>
      </c>
      <c r="G65" s="184">
        <v>0</v>
      </c>
      <c r="H65" s="185">
        <v>0</v>
      </c>
      <c r="I65" s="186">
        <v>0</v>
      </c>
      <c r="J65" s="187">
        <v>0</v>
      </c>
      <c r="K65" s="186">
        <v>0</v>
      </c>
      <c r="L65" s="188">
        <v>0</v>
      </c>
    </row>
    <row r="66" spans="1:13" ht="22.95" customHeight="1" x14ac:dyDescent="0.3">
      <c r="A66" s="3">
        <v>13</v>
      </c>
      <c r="B66" s="40" t="str">
        <f>'SALES &amp; RATE'!B66</f>
        <v>TANGO RED WINE</v>
      </c>
      <c r="C66" s="184">
        <v>0</v>
      </c>
      <c r="D66" s="185">
        <v>0</v>
      </c>
      <c r="E66" s="184">
        <v>0</v>
      </c>
      <c r="F66" s="185">
        <v>0</v>
      </c>
      <c r="G66" s="184">
        <v>0</v>
      </c>
      <c r="H66" s="185">
        <v>0</v>
      </c>
      <c r="I66" s="186">
        <v>0</v>
      </c>
      <c r="J66" s="187">
        <v>0</v>
      </c>
      <c r="K66" s="186">
        <v>0</v>
      </c>
      <c r="L66" s="188">
        <v>0</v>
      </c>
    </row>
    <row r="67" spans="1:13" ht="22.95" customHeight="1" x14ac:dyDescent="0.3">
      <c r="A67" s="3">
        <v>14</v>
      </c>
      <c r="B67" s="40" t="str">
        <f>'SALES &amp; RATE'!B67</f>
        <v>BUZZ BALL</v>
      </c>
      <c r="C67" s="184">
        <v>0</v>
      </c>
      <c r="D67" s="185">
        <v>0</v>
      </c>
      <c r="E67" s="184">
        <v>0</v>
      </c>
      <c r="F67" s="185">
        <v>0</v>
      </c>
      <c r="G67" s="184">
        <v>0</v>
      </c>
      <c r="H67" s="185">
        <v>0</v>
      </c>
      <c r="I67" s="186">
        <v>0</v>
      </c>
      <c r="J67" s="187">
        <v>0</v>
      </c>
      <c r="K67" s="186">
        <v>0</v>
      </c>
      <c r="L67" s="188">
        <v>0</v>
      </c>
    </row>
    <row r="68" spans="1:13" ht="22.95" customHeight="1" x14ac:dyDescent="0.3">
      <c r="A68" s="3">
        <v>15</v>
      </c>
      <c r="B68" s="40">
        <f>'SALES &amp; RATE'!B68</f>
        <v>0</v>
      </c>
      <c r="C68" s="184">
        <v>0</v>
      </c>
      <c r="D68" s="185">
        <v>0</v>
      </c>
      <c r="E68" s="184">
        <v>0</v>
      </c>
      <c r="F68" s="185">
        <v>0</v>
      </c>
      <c r="G68" s="184">
        <v>0</v>
      </c>
      <c r="H68" s="185">
        <v>0</v>
      </c>
      <c r="I68" s="186">
        <v>0</v>
      </c>
      <c r="J68" s="187">
        <v>0</v>
      </c>
      <c r="K68" s="186">
        <v>0</v>
      </c>
      <c r="L68" s="188">
        <v>0</v>
      </c>
    </row>
    <row r="69" spans="1:13" ht="22.95" customHeight="1" x14ac:dyDescent="0.3">
      <c r="A69" s="3">
        <v>16</v>
      </c>
      <c r="B69" s="40">
        <f>'SALES &amp; RATE'!B69</f>
        <v>0</v>
      </c>
      <c r="C69" s="184">
        <v>0</v>
      </c>
      <c r="D69" s="185">
        <v>0</v>
      </c>
      <c r="E69" s="184">
        <v>0</v>
      </c>
      <c r="F69" s="185">
        <v>0</v>
      </c>
      <c r="G69" s="184">
        <v>0</v>
      </c>
      <c r="H69" s="185">
        <v>0</v>
      </c>
      <c r="I69" s="186">
        <v>0</v>
      </c>
      <c r="J69" s="187">
        <v>0</v>
      </c>
      <c r="K69" s="186">
        <v>0</v>
      </c>
      <c r="L69" s="188">
        <v>0</v>
      </c>
    </row>
    <row r="70" spans="1:13" ht="22.95" customHeight="1" x14ac:dyDescent="0.3">
      <c r="A70" s="3">
        <v>17</v>
      </c>
      <c r="B70" s="40">
        <f>'SALES &amp; RATE'!B70</f>
        <v>0</v>
      </c>
      <c r="C70" s="184">
        <v>0</v>
      </c>
      <c r="D70" s="185">
        <v>0</v>
      </c>
      <c r="E70" s="184">
        <v>0</v>
      </c>
      <c r="F70" s="185">
        <v>0</v>
      </c>
      <c r="G70" s="184">
        <v>0</v>
      </c>
      <c r="H70" s="185">
        <v>0</v>
      </c>
      <c r="I70" s="186">
        <v>0</v>
      </c>
      <c r="J70" s="187">
        <v>0</v>
      </c>
      <c r="K70" s="186">
        <v>0</v>
      </c>
      <c r="L70" s="188">
        <v>0</v>
      </c>
    </row>
    <row r="71" spans="1:13" ht="22.95" customHeight="1" thickBot="1" x14ac:dyDescent="0.35">
      <c r="A71" s="41">
        <v>18</v>
      </c>
      <c r="B71" s="40">
        <f>'SALES &amp; RATE'!B71</f>
        <v>0</v>
      </c>
      <c r="C71" s="189">
        <v>0</v>
      </c>
      <c r="D71" s="190">
        <v>0</v>
      </c>
      <c r="E71" s="189">
        <v>0</v>
      </c>
      <c r="F71" s="190">
        <v>0</v>
      </c>
      <c r="G71" s="189">
        <v>0</v>
      </c>
      <c r="H71" s="190">
        <v>0</v>
      </c>
      <c r="I71" s="191">
        <v>0</v>
      </c>
      <c r="J71" s="192">
        <v>0</v>
      </c>
      <c r="K71" s="191">
        <v>0</v>
      </c>
      <c r="L71" s="193">
        <v>0</v>
      </c>
    </row>
    <row r="72" spans="1:13" ht="22.95" customHeight="1" thickBot="1" x14ac:dyDescent="0.35">
      <c r="A72" s="277" t="s">
        <v>14</v>
      </c>
      <c r="B72" s="278"/>
      <c r="C72" s="272" t="s">
        <v>1</v>
      </c>
      <c r="D72" s="273"/>
      <c r="E72" s="273"/>
      <c r="F72" s="273"/>
      <c r="G72" s="273"/>
      <c r="H72" s="273"/>
      <c r="I72" s="273"/>
      <c r="J72" s="273"/>
      <c r="K72" s="273"/>
      <c r="L72" s="274"/>
      <c r="M72" s="29"/>
    </row>
    <row r="73" spans="1:13" ht="22.95" customHeight="1" x14ac:dyDescent="0.3">
      <c r="A73" s="279"/>
      <c r="B73" s="280"/>
      <c r="C73" s="224" t="s">
        <v>15</v>
      </c>
      <c r="D73" s="226"/>
      <c r="E73" s="227" t="s">
        <v>68</v>
      </c>
      <c r="F73" s="225"/>
      <c r="G73" s="224" t="s">
        <v>16</v>
      </c>
      <c r="H73" s="226"/>
      <c r="I73" s="224" t="s">
        <v>69</v>
      </c>
      <c r="J73" s="226"/>
      <c r="K73" s="25"/>
      <c r="L73" s="26"/>
      <c r="M73" s="30" t="s">
        <v>101</v>
      </c>
    </row>
    <row r="74" spans="1:13" ht="22.95" customHeight="1" x14ac:dyDescent="0.3">
      <c r="A74" s="37" t="s">
        <v>9</v>
      </c>
      <c r="B74" s="38" t="s">
        <v>13</v>
      </c>
      <c r="C74" s="5" t="s">
        <v>2</v>
      </c>
      <c r="D74" s="6" t="s">
        <v>3</v>
      </c>
      <c r="E74" s="7" t="s">
        <v>10</v>
      </c>
      <c r="F74" s="8" t="s">
        <v>3</v>
      </c>
      <c r="G74" s="5" t="s">
        <v>10</v>
      </c>
      <c r="H74" s="6" t="s">
        <v>3</v>
      </c>
      <c r="I74" s="5" t="s">
        <v>10</v>
      </c>
      <c r="J74" s="6" t="s">
        <v>3</v>
      </c>
      <c r="K74" s="27"/>
      <c r="L74" s="28"/>
      <c r="M74" s="31" t="s">
        <v>107</v>
      </c>
    </row>
    <row r="75" spans="1:13" ht="22.95" customHeight="1" x14ac:dyDescent="0.3">
      <c r="A75" s="3">
        <v>1</v>
      </c>
      <c r="B75" s="40" t="str">
        <f>'SALES &amp; RATE'!B75</f>
        <v>K.F PREMIUM</v>
      </c>
      <c r="C75" s="184">
        <v>1</v>
      </c>
      <c r="D75" s="185">
        <v>15</v>
      </c>
      <c r="E75" s="184">
        <v>0</v>
      </c>
      <c r="F75" s="185">
        <v>0</v>
      </c>
      <c r="G75" s="184">
        <v>0</v>
      </c>
      <c r="H75" s="185">
        <v>0</v>
      </c>
      <c r="I75" s="184">
        <v>0</v>
      </c>
      <c r="J75" s="194">
        <v>0</v>
      </c>
      <c r="K75" s="149"/>
      <c r="L75" s="118"/>
      <c r="M75" s="32">
        <v>93990</v>
      </c>
    </row>
    <row r="76" spans="1:13" ht="22.95" customHeight="1" x14ac:dyDescent="0.3">
      <c r="A76" s="3">
        <v>2</v>
      </c>
      <c r="B76" s="40" t="str">
        <f>'SALES &amp; RATE'!B76</f>
        <v>K.F STRONG</v>
      </c>
      <c r="C76" s="184">
        <v>47</v>
      </c>
      <c r="D76" s="185">
        <v>32</v>
      </c>
      <c r="E76" s="184">
        <v>0</v>
      </c>
      <c r="F76" s="185">
        <v>1</v>
      </c>
      <c r="G76" s="184">
        <v>0</v>
      </c>
      <c r="H76" s="185">
        <v>0</v>
      </c>
      <c r="I76" s="184">
        <v>0</v>
      </c>
      <c r="J76" s="194">
        <v>0</v>
      </c>
      <c r="K76" s="149"/>
      <c r="L76" s="118"/>
      <c r="M76" s="33" t="s">
        <v>108</v>
      </c>
    </row>
    <row r="77" spans="1:13" ht="22.95" customHeight="1" x14ac:dyDescent="0.3">
      <c r="A77" s="3">
        <v>3</v>
      </c>
      <c r="B77" s="40" t="str">
        <f>'SALES &amp; RATE'!B77</f>
        <v>U.B EXPORT</v>
      </c>
      <c r="C77" s="184">
        <v>1</v>
      </c>
      <c r="D77" s="185">
        <v>28</v>
      </c>
      <c r="E77" s="184">
        <v>0</v>
      </c>
      <c r="F77" s="185">
        <v>0</v>
      </c>
      <c r="G77" s="184">
        <v>0</v>
      </c>
      <c r="H77" s="185">
        <v>0</v>
      </c>
      <c r="I77" s="184">
        <v>0</v>
      </c>
      <c r="J77" s="194">
        <v>0</v>
      </c>
      <c r="K77" s="149"/>
      <c r="L77" s="118"/>
      <c r="M77" s="32">
        <v>24950</v>
      </c>
    </row>
    <row r="78" spans="1:13" ht="22.95" customHeight="1" x14ac:dyDescent="0.3">
      <c r="A78" s="3">
        <v>4</v>
      </c>
      <c r="B78" s="40" t="str">
        <f>'SALES &amp; RATE'!B78</f>
        <v>KNOCK OUT</v>
      </c>
      <c r="C78" s="184">
        <v>0</v>
      </c>
      <c r="D78" s="185">
        <v>0</v>
      </c>
      <c r="E78" s="184">
        <v>0</v>
      </c>
      <c r="F78" s="185">
        <v>0</v>
      </c>
      <c r="G78" s="184">
        <v>1</v>
      </c>
      <c r="H78" s="185">
        <v>10</v>
      </c>
      <c r="I78" s="184">
        <v>0</v>
      </c>
      <c r="J78" s="194">
        <v>0</v>
      </c>
      <c r="K78" s="149"/>
      <c r="L78" s="118"/>
      <c r="M78" s="33" t="s">
        <v>106</v>
      </c>
    </row>
    <row r="79" spans="1:13" ht="22.95" customHeight="1" x14ac:dyDescent="0.3">
      <c r="A79" s="3">
        <v>5</v>
      </c>
      <c r="B79" s="40" t="str">
        <f>'SALES &amp; RATE'!B79</f>
        <v>K.F STROM</v>
      </c>
      <c r="C79" s="184">
        <v>0</v>
      </c>
      <c r="D79" s="185">
        <v>0</v>
      </c>
      <c r="E79" s="184">
        <v>0</v>
      </c>
      <c r="F79" s="185">
        <v>0</v>
      </c>
      <c r="G79" s="184">
        <v>0</v>
      </c>
      <c r="H79" s="185">
        <v>0</v>
      </c>
      <c r="I79" s="184">
        <v>0</v>
      </c>
      <c r="J79" s="194">
        <v>0</v>
      </c>
      <c r="K79" s="149"/>
      <c r="L79" s="118"/>
      <c r="M79" s="155">
        <v>35135</v>
      </c>
    </row>
    <row r="80" spans="1:13" ht="22.95" customHeight="1" x14ac:dyDescent="0.3">
      <c r="A80" s="3">
        <v>6</v>
      </c>
      <c r="B80" s="40" t="str">
        <f>'SALES &amp; RATE'!B80</f>
        <v>BUDWISER MAGNUM</v>
      </c>
      <c r="C80" s="184">
        <v>8</v>
      </c>
      <c r="D80" s="185">
        <v>39</v>
      </c>
      <c r="E80" s="184">
        <v>0</v>
      </c>
      <c r="F80" s="185">
        <v>34</v>
      </c>
      <c r="G80" s="184">
        <v>0</v>
      </c>
      <c r="H80" s="185">
        <v>0</v>
      </c>
      <c r="I80" s="184">
        <v>0</v>
      </c>
      <c r="J80" s="194">
        <v>0</v>
      </c>
      <c r="K80" s="149"/>
      <c r="L80" s="118"/>
      <c r="M80" s="275"/>
    </row>
    <row r="81" spans="1:13" ht="22.95" customHeight="1" x14ac:dyDescent="0.3">
      <c r="A81" s="3">
        <v>7</v>
      </c>
      <c r="B81" s="40" t="str">
        <f>'SALES &amp; RATE'!B81</f>
        <v>BUDWISER PREM</v>
      </c>
      <c r="C81" s="184">
        <v>0</v>
      </c>
      <c r="D81" s="185">
        <v>2</v>
      </c>
      <c r="E81" s="184">
        <v>0</v>
      </c>
      <c r="F81" s="185">
        <v>24</v>
      </c>
      <c r="G81" s="184">
        <v>0</v>
      </c>
      <c r="H81" s="185">
        <v>0</v>
      </c>
      <c r="I81" s="184">
        <v>0</v>
      </c>
      <c r="J81" s="194">
        <v>0</v>
      </c>
      <c r="K81" s="149"/>
      <c r="L81" s="118"/>
      <c r="M81" s="275"/>
    </row>
    <row r="82" spans="1:13" ht="22.95" customHeight="1" x14ac:dyDescent="0.3">
      <c r="A82" s="3">
        <v>8</v>
      </c>
      <c r="B82" s="40" t="str">
        <f>'SALES &amp; RATE'!B82</f>
        <v>K.F ULTRA/ WITT BEER</v>
      </c>
      <c r="C82" s="184">
        <v>0</v>
      </c>
      <c r="D82" s="185">
        <v>22</v>
      </c>
      <c r="E82" s="184">
        <v>0</v>
      </c>
      <c r="F82" s="185">
        <v>0</v>
      </c>
      <c r="G82" s="184">
        <v>0</v>
      </c>
      <c r="H82" s="185">
        <v>0</v>
      </c>
      <c r="I82" s="184">
        <v>0</v>
      </c>
      <c r="J82" s="194">
        <v>0</v>
      </c>
      <c r="K82" s="149"/>
      <c r="L82" s="118"/>
      <c r="M82" s="275"/>
    </row>
    <row r="83" spans="1:13" ht="22.95" customHeight="1" x14ac:dyDescent="0.3">
      <c r="A83" s="3">
        <v>9</v>
      </c>
      <c r="B83" s="40" t="str">
        <f>'SALES &amp; RATE'!B83</f>
        <v>TOBURG STRONG BEER</v>
      </c>
      <c r="C83" s="184">
        <v>24</v>
      </c>
      <c r="D83" s="185">
        <v>21</v>
      </c>
      <c r="E83" s="184">
        <v>1</v>
      </c>
      <c r="F83" s="185">
        <v>14</v>
      </c>
      <c r="G83" s="184">
        <v>0</v>
      </c>
      <c r="H83" s="185">
        <v>0</v>
      </c>
      <c r="I83" s="184">
        <v>0</v>
      </c>
      <c r="J83" s="194">
        <v>0</v>
      </c>
      <c r="K83" s="149"/>
      <c r="L83" s="118"/>
      <c r="M83" s="275"/>
    </row>
    <row r="84" spans="1:13" ht="22.95" customHeight="1" x14ac:dyDescent="0.3">
      <c r="A84" s="3">
        <v>10</v>
      </c>
      <c r="B84" s="40" t="str">
        <f>'SALES &amp; RATE'!B84</f>
        <v xml:space="preserve">POWERCOOL </v>
      </c>
      <c r="C84" s="184">
        <v>3</v>
      </c>
      <c r="D84" s="185">
        <v>24</v>
      </c>
      <c r="E84" s="184">
        <v>0</v>
      </c>
      <c r="F84" s="185">
        <v>22</v>
      </c>
      <c r="G84" s="184">
        <v>0</v>
      </c>
      <c r="H84" s="185">
        <v>7</v>
      </c>
      <c r="I84" s="184">
        <v>0</v>
      </c>
      <c r="J84" s="194">
        <v>0</v>
      </c>
      <c r="K84" s="149"/>
      <c r="L84" s="118"/>
      <c r="M84" s="275"/>
    </row>
    <row r="85" spans="1:13" ht="22.95" customHeight="1" x14ac:dyDescent="0.3">
      <c r="A85" s="3">
        <v>11</v>
      </c>
      <c r="B85" s="40" t="str">
        <f>'SALES &amp; RATE'!B85</f>
        <v>BACARDI +</v>
      </c>
      <c r="C85" s="184">
        <v>0</v>
      </c>
      <c r="D85" s="185">
        <v>0</v>
      </c>
      <c r="E85" s="184">
        <v>0</v>
      </c>
      <c r="F85" s="185">
        <v>0</v>
      </c>
      <c r="G85" s="184">
        <v>3</v>
      </c>
      <c r="H85" s="185">
        <v>27</v>
      </c>
      <c r="I85" s="184">
        <v>0</v>
      </c>
      <c r="J85" s="194">
        <v>0</v>
      </c>
      <c r="K85" s="149"/>
      <c r="L85" s="118"/>
      <c r="M85" s="275"/>
    </row>
    <row r="86" spans="1:13" ht="22.95" customHeight="1" x14ac:dyDescent="0.3">
      <c r="A86" s="3">
        <v>12</v>
      </c>
      <c r="B86" s="40" t="str">
        <f>'SALES &amp; RATE'!B86</f>
        <v>BACARDI BREEZER</v>
      </c>
      <c r="C86" s="184">
        <v>0</v>
      </c>
      <c r="D86" s="185">
        <v>0</v>
      </c>
      <c r="E86" s="184">
        <v>0</v>
      </c>
      <c r="F86" s="185">
        <v>0</v>
      </c>
      <c r="G86" s="184">
        <v>0</v>
      </c>
      <c r="H86" s="185">
        <v>26</v>
      </c>
      <c r="I86" s="184">
        <v>0</v>
      </c>
      <c r="J86" s="194">
        <v>0</v>
      </c>
      <c r="K86" s="149"/>
      <c r="L86" s="118"/>
      <c r="M86" s="275"/>
    </row>
    <row r="87" spans="1:13" ht="22.95" customHeight="1" x14ac:dyDescent="0.3">
      <c r="A87" s="3">
        <v>13</v>
      </c>
      <c r="B87" s="40" t="str">
        <f>'SALES &amp; RATE'!B87</f>
        <v>RC / BULLET BEER</v>
      </c>
      <c r="C87" s="184">
        <v>2</v>
      </c>
      <c r="D87" s="185">
        <v>17</v>
      </c>
      <c r="E87" s="184">
        <v>0</v>
      </c>
      <c r="F87" s="185">
        <v>22</v>
      </c>
      <c r="G87" s="184">
        <v>0</v>
      </c>
      <c r="H87" s="185">
        <v>0</v>
      </c>
      <c r="I87" s="184">
        <v>0</v>
      </c>
      <c r="J87" s="194">
        <v>0</v>
      </c>
      <c r="K87" s="149"/>
      <c r="L87" s="118"/>
      <c r="M87" s="275"/>
    </row>
    <row r="88" spans="1:13" ht="22.95" customHeight="1" x14ac:dyDescent="0.3">
      <c r="A88" s="3">
        <v>14</v>
      </c>
      <c r="B88" s="40" t="str">
        <f>'SALES &amp; RATE'!B88</f>
        <v>HUNTER</v>
      </c>
      <c r="C88" s="184">
        <v>0</v>
      </c>
      <c r="D88" s="185">
        <v>0</v>
      </c>
      <c r="E88" s="184">
        <v>0</v>
      </c>
      <c r="F88" s="185">
        <v>0</v>
      </c>
      <c r="G88" s="184">
        <v>0</v>
      </c>
      <c r="H88" s="185">
        <v>0</v>
      </c>
      <c r="I88" s="184">
        <v>0</v>
      </c>
      <c r="J88" s="194">
        <v>0</v>
      </c>
      <c r="K88" s="149"/>
      <c r="L88" s="118"/>
      <c r="M88" s="275"/>
    </row>
    <row r="89" spans="1:13" ht="22.95" customHeight="1" x14ac:dyDescent="0.3">
      <c r="A89" s="3">
        <v>15</v>
      </c>
      <c r="B89" s="40" t="str">
        <f>'SALES &amp; RATE'!B89</f>
        <v>CARLSBERG ELE STRONG</v>
      </c>
      <c r="C89" s="184">
        <v>0</v>
      </c>
      <c r="D89" s="185">
        <v>4</v>
      </c>
      <c r="E89" s="184">
        <v>0</v>
      </c>
      <c r="F89" s="185">
        <v>0</v>
      </c>
      <c r="G89" s="184">
        <v>0</v>
      </c>
      <c r="H89" s="185">
        <v>0</v>
      </c>
      <c r="I89" s="184">
        <v>0</v>
      </c>
      <c r="J89" s="194">
        <v>0</v>
      </c>
      <c r="K89" s="149"/>
      <c r="L89" s="118"/>
      <c r="M89" s="275"/>
    </row>
    <row r="90" spans="1:13" ht="22.95" customHeight="1" x14ac:dyDescent="0.3">
      <c r="A90" s="3">
        <v>16</v>
      </c>
      <c r="B90" s="40" t="str">
        <f>'SALES &amp; RATE'!B90</f>
        <v>SUNNY STRONG</v>
      </c>
      <c r="C90" s="184">
        <v>0</v>
      </c>
      <c r="D90" s="185">
        <v>0</v>
      </c>
      <c r="E90" s="184">
        <v>0</v>
      </c>
      <c r="F90" s="185">
        <v>0</v>
      </c>
      <c r="G90" s="184">
        <v>0</v>
      </c>
      <c r="H90" s="185">
        <v>0</v>
      </c>
      <c r="I90" s="184">
        <v>0</v>
      </c>
      <c r="J90" s="194">
        <v>0</v>
      </c>
      <c r="K90" s="149"/>
      <c r="L90" s="118"/>
      <c r="M90" s="275"/>
    </row>
    <row r="91" spans="1:13" ht="22.95" customHeight="1" x14ac:dyDescent="0.3">
      <c r="A91" s="3">
        <v>17</v>
      </c>
      <c r="B91" s="40" t="str">
        <f>'SALES &amp; RATE'!B91</f>
        <v>FOSTERS BEER</v>
      </c>
      <c r="C91" s="184">
        <v>0</v>
      </c>
      <c r="D91" s="185">
        <v>0</v>
      </c>
      <c r="E91" s="184">
        <v>0</v>
      </c>
      <c r="F91" s="185">
        <v>0</v>
      </c>
      <c r="G91" s="184">
        <v>0</v>
      </c>
      <c r="H91" s="185">
        <v>0</v>
      </c>
      <c r="I91" s="184">
        <v>0</v>
      </c>
      <c r="J91" s="194">
        <v>0</v>
      </c>
      <c r="K91" s="149"/>
      <c r="L91" s="118"/>
      <c r="M91" s="275"/>
    </row>
    <row r="92" spans="1:13" ht="22.95" customHeight="1" x14ac:dyDescent="0.3">
      <c r="A92" s="3">
        <v>18</v>
      </c>
      <c r="B92" s="40" t="str">
        <f>'SALES &amp; RATE'!B92</f>
        <v>HEINEKEN BEER</v>
      </c>
      <c r="C92" s="184">
        <v>0</v>
      </c>
      <c r="D92" s="185">
        <v>0</v>
      </c>
      <c r="E92" s="184">
        <v>0</v>
      </c>
      <c r="F92" s="185">
        <v>0</v>
      </c>
      <c r="G92" s="184">
        <v>0</v>
      </c>
      <c r="H92" s="185">
        <v>0</v>
      </c>
      <c r="I92" s="184">
        <v>0</v>
      </c>
      <c r="J92" s="194">
        <v>0</v>
      </c>
      <c r="K92" s="149"/>
      <c r="L92" s="118"/>
      <c r="M92" s="275"/>
    </row>
    <row r="93" spans="1:13" ht="22.95" customHeight="1" x14ac:dyDescent="0.3">
      <c r="A93" s="3">
        <v>19</v>
      </c>
      <c r="B93" s="40" t="str">
        <f>'SALES &amp; RATE'!B93</f>
        <v>TUBORG CLASSIC</v>
      </c>
      <c r="C93" s="184">
        <v>0</v>
      </c>
      <c r="D93" s="185">
        <v>20</v>
      </c>
      <c r="E93" s="184">
        <v>0</v>
      </c>
      <c r="F93" s="185">
        <v>0</v>
      </c>
      <c r="G93" s="184">
        <v>0</v>
      </c>
      <c r="H93" s="185">
        <v>0</v>
      </c>
      <c r="I93" s="184">
        <v>0</v>
      </c>
      <c r="J93" s="194">
        <v>0</v>
      </c>
      <c r="K93" s="149"/>
      <c r="L93" s="118"/>
      <c r="M93" s="275"/>
    </row>
    <row r="94" spans="1:13" ht="22.95" customHeight="1" thickBot="1" x14ac:dyDescent="0.35">
      <c r="A94" s="41">
        <v>20</v>
      </c>
      <c r="B94" s="40">
        <f>'SALES &amp; RATE'!B94</f>
        <v>0</v>
      </c>
      <c r="C94" s="189">
        <v>0</v>
      </c>
      <c r="D94" s="190">
        <v>0</v>
      </c>
      <c r="E94" s="189">
        <v>0</v>
      </c>
      <c r="F94" s="190">
        <v>0</v>
      </c>
      <c r="G94" s="189">
        <v>0</v>
      </c>
      <c r="H94" s="190">
        <v>0</v>
      </c>
      <c r="I94" s="189">
        <v>0</v>
      </c>
      <c r="J94" s="195">
        <v>0</v>
      </c>
      <c r="K94" s="150"/>
      <c r="L94" s="122"/>
      <c r="M94" s="275"/>
    </row>
    <row r="95" spans="1:13" ht="22.95" customHeight="1" thickBot="1" x14ac:dyDescent="0.35">
      <c r="A95" s="277" t="s">
        <v>17</v>
      </c>
      <c r="B95" s="278"/>
      <c r="C95" s="272" t="s">
        <v>1</v>
      </c>
      <c r="D95" s="273"/>
      <c r="E95" s="273"/>
      <c r="F95" s="273"/>
      <c r="G95" s="273"/>
      <c r="H95" s="273"/>
      <c r="I95" s="273"/>
      <c r="J95" s="273"/>
      <c r="K95" s="273"/>
      <c r="L95" s="273"/>
      <c r="M95" s="275"/>
    </row>
    <row r="96" spans="1:13" ht="22.95" customHeight="1" x14ac:dyDescent="0.3">
      <c r="A96" s="279"/>
      <c r="B96" s="280"/>
      <c r="C96" s="224" t="s">
        <v>18</v>
      </c>
      <c r="D96" s="226"/>
      <c r="E96" s="227" t="s">
        <v>19</v>
      </c>
      <c r="F96" s="225"/>
      <c r="G96" s="224" t="s">
        <v>72</v>
      </c>
      <c r="H96" s="226"/>
      <c r="I96" s="227" t="s">
        <v>20</v>
      </c>
      <c r="J96" s="226"/>
      <c r="K96" s="25"/>
      <c r="L96" s="26"/>
      <c r="M96" s="275"/>
    </row>
    <row r="97" spans="1:13" ht="22.95" customHeight="1" x14ac:dyDescent="0.3">
      <c r="A97" s="37" t="s">
        <v>9</v>
      </c>
      <c r="B97" s="39" t="s">
        <v>13</v>
      </c>
      <c r="C97" s="5" t="s">
        <v>71</v>
      </c>
      <c r="D97" s="6" t="s">
        <v>3</v>
      </c>
      <c r="E97" s="7" t="s">
        <v>2</v>
      </c>
      <c r="F97" s="8" t="s">
        <v>3</v>
      </c>
      <c r="G97" s="5" t="s">
        <v>10</v>
      </c>
      <c r="H97" s="6" t="s">
        <v>3</v>
      </c>
      <c r="I97" s="7" t="s">
        <v>70</v>
      </c>
      <c r="J97" s="6" t="s">
        <v>3</v>
      </c>
      <c r="K97" s="27"/>
      <c r="L97" s="28"/>
      <c r="M97" s="276"/>
    </row>
    <row r="98" spans="1:13" ht="22.95" customHeight="1" x14ac:dyDescent="0.3">
      <c r="A98" s="3">
        <v>1</v>
      </c>
      <c r="B98" s="40" t="str">
        <f>'SALES &amp; RATE'!B98</f>
        <v>COOL DRINKS</v>
      </c>
      <c r="C98" s="184">
        <v>0</v>
      </c>
      <c r="D98" s="185">
        <v>0</v>
      </c>
      <c r="E98" s="184">
        <v>0</v>
      </c>
      <c r="F98" s="185">
        <v>0</v>
      </c>
      <c r="G98" s="184">
        <v>5</v>
      </c>
      <c r="H98" s="185">
        <v>116</v>
      </c>
      <c r="I98" s="184">
        <v>2</v>
      </c>
      <c r="J98" s="194">
        <v>82</v>
      </c>
      <c r="K98" s="149"/>
      <c r="L98" s="118"/>
      <c r="M98" s="156" t="s">
        <v>111</v>
      </c>
    </row>
    <row r="99" spans="1:13" ht="22.95" customHeight="1" x14ac:dyDescent="0.3">
      <c r="A99" s="3">
        <v>2</v>
      </c>
      <c r="B99" s="40" t="str">
        <f>'SALES &amp; RATE'!B99</f>
        <v>SODA*12/REDBULL*24</v>
      </c>
      <c r="C99" s="184">
        <v>0</v>
      </c>
      <c r="D99" s="185">
        <v>0</v>
      </c>
      <c r="E99" s="184">
        <v>0</v>
      </c>
      <c r="F99" s="185">
        <v>0</v>
      </c>
      <c r="G99" s="184">
        <v>2</v>
      </c>
      <c r="H99" s="185">
        <v>10</v>
      </c>
      <c r="I99" s="184">
        <v>0</v>
      </c>
      <c r="J99" s="194">
        <v>6</v>
      </c>
      <c r="K99" s="149"/>
      <c r="L99" s="118"/>
      <c r="M99" s="155">
        <v>65000</v>
      </c>
    </row>
    <row r="100" spans="1:13" ht="22.95" customHeight="1" thickBot="1" x14ac:dyDescent="0.35">
      <c r="A100" s="41">
        <v>3</v>
      </c>
      <c r="B100" s="42" t="str">
        <f>'SALES &amp; RATE'!B100</f>
        <v>MIN WATER</v>
      </c>
      <c r="C100" s="189">
        <v>10</v>
      </c>
      <c r="D100" s="190">
        <v>21</v>
      </c>
      <c r="E100" s="189">
        <v>10</v>
      </c>
      <c r="F100" s="190">
        <v>30</v>
      </c>
      <c r="G100" s="189">
        <v>2</v>
      </c>
      <c r="H100" s="190">
        <v>98</v>
      </c>
      <c r="I100" s="189">
        <v>0</v>
      </c>
      <c r="J100" s="195">
        <v>0</v>
      </c>
      <c r="K100" s="150"/>
      <c r="L100" s="122"/>
      <c r="M100" s="154"/>
    </row>
  </sheetData>
  <sheetProtection selectLockedCells="1"/>
  <mergeCells count="27">
    <mergeCell ref="C72:L72"/>
    <mergeCell ref="C95:L95"/>
    <mergeCell ref="I73:J73"/>
    <mergeCell ref="M80:M97"/>
    <mergeCell ref="A95:B96"/>
    <mergeCell ref="C96:D96"/>
    <mergeCell ref="E96:F96"/>
    <mergeCell ref="G96:H96"/>
    <mergeCell ref="I96:J96"/>
    <mergeCell ref="A72:B73"/>
    <mergeCell ref="C73:D73"/>
    <mergeCell ref="E73:F73"/>
    <mergeCell ref="G73:H73"/>
    <mergeCell ref="K2:L2"/>
    <mergeCell ref="C1:L1"/>
    <mergeCell ref="A51:B52"/>
    <mergeCell ref="C51:L51"/>
    <mergeCell ref="C52:D52"/>
    <mergeCell ref="E52:F52"/>
    <mergeCell ref="G52:H52"/>
    <mergeCell ref="I52:J52"/>
    <mergeCell ref="K52:L52"/>
    <mergeCell ref="A1:B2"/>
    <mergeCell ref="C2:D2"/>
    <mergeCell ref="E2:F2"/>
    <mergeCell ref="G2:H2"/>
    <mergeCell ref="I2:J2"/>
  </mergeCells>
  <phoneticPr fontId="12" type="noConversion"/>
  <printOptions horizontalCentered="1" verticalCentered="1"/>
  <pageMargins left="0.2" right="0.59" top="0.39000000000000007" bottom="0.2" header="0.39000000000000007" footer="0.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G100"/>
  <sheetViews>
    <sheetView zoomScaleNormal="100" zoomScalePageLayoutView="125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E99" sqref="E99"/>
    </sheetView>
  </sheetViews>
  <sheetFormatPr defaultColWidth="10.69921875" defaultRowHeight="15.6" x14ac:dyDescent="0.3"/>
  <cols>
    <col min="1" max="1" width="4.69921875" customWidth="1"/>
    <col min="2" max="2" width="21.5" customWidth="1"/>
    <col min="3" max="7" width="8.5" customWidth="1"/>
  </cols>
  <sheetData>
    <row r="1" spans="1:7" ht="28.2" customHeight="1" thickBot="1" x14ac:dyDescent="0.35">
      <c r="A1" s="288" t="s">
        <v>0</v>
      </c>
      <c r="B1" s="289"/>
      <c r="C1" s="292" t="s">
        <v>102</v>
      </c>
      <c r="D1" s="293"/>
      <c r="E1" s="293"/>
      <c r="F1" s="293"/>
      <c r="G1" s="294"/>
    </row>
    <row r="2" spans="1:7" ht="22.95" customHeight="1" x14ac:dyDescent="0.3">
      <c r="A2" s="290"/>
      <c r="B2" s="291"/>
      <c r="C2" s="88" t="s">
        <v>4</v>
      </c>
      <c r="D2" s="74" t="s">
        <v>5</v>
      </c>
      <c r="E2" s="74" t="s">
        <v>6</v>
      </c>
      <c r="F2" s="75" t="s">
        <v>7</v>
      </c>
      <c r="G2" s="87" t="s">
        <v>8</v>
      </c>
    </row>
    <row r="3" spans="1:7" ht="22.95" customHeight="1" x14ac:dyDescent="0.3">
      <c r="A3" s="34" t="s">
        <v>9</v>
      </c>
      <c r="B3" s="36" t="s">
        <v>13</v>
      </c>
      <c r="C3" s="9" t="s">
        <v>2</v>
      </c>
      <c r="D3" s="72" t="s">
        <v>10</v>
      </c>
      <c r="E3" s="72" t="s">
        <v>11</v>
      </c>
      <c r="F3" s="91" t="s">
        <v>12</v>
      </c>
      <c r="G3" s="16" t="s">
        <v>77</v>
      </c>
    </row>
    <row r="4" spans="1:7" ht="22.95" customHeight="1" x14ac:dyDescent="0.3">
      <c r="A4" s="3">
        <v>1</v>
      </c>
      <c r="B4" s="89" t="str">
        <f>'SALES &amp; RATE'!B4</f>
        <v>M H BRANDY</v>
      </c>
      <c r="C4" s="112">
        <v>0</v>
      </c>
      <c r="D4" s="142">
        <v>1</v>
      </c>
      <c r="E4" s="142">
        <v>2</v>
      </c>
      <c r="F4" s="143">
        <v>1</v>
      </c>
      <c r="G4" s="113">
        <v>0</v>
      </c>
    </row>
    <row r="5" spans="1:7" ht="22.95" customHeight="1" x14ac:dyDescent="0.3">
      <c r="A5" s="3">
        <v>2</v>
      </c>
      <c r="B5" s="89" t="str">
        <f>'SALES &amp; RATE'!B5</f>
        <v>MC BRANDY</v>
      </c>
      <c r="C5" s="112">
        <v>0</v>
      </c>
      <c r="D5" s="142">
        <v>0</v>
      </c>
      <c r="E5" s="142">
        <v>2</v>
      </c>
      <c r="F5" s="143">
        <v>1</v>
      </c>
      <c r="G5" s="113">
        <v>0</v>
      </c>
    </row>
    <row r="6" spans="1:7" ht="22.95" customHeight="1" x14ac:dyDescent="0.3">
      <c r="A6" s="3">
        <v>3</v>
      </c>
      <c r="B6" s="89" t="str">
        <f>'SALES &amp; RATE'!B6</f>
        <v>O.C.BRANDY</v>
      </c>
      <c r="C6" s="112">
        <v>0</v>
      </c>
      <c r="D6" s="142">
        <v>0</v>
      </c>
      <c r="E6" s="142">
        <v>4</v>
      </c>
      <c r="F6" s="143">
        <v>0</v>
      </c>
      <c r="G6" s="113">
        <v>0</v>
      </c>
    </row>
    <row r="7" spans="1:7" ht="22.95" customHeight="1" x14ac:dyDescent="0.3">
      <c r="A7" s="3">
        <v>4</v>
      </c>
      <c r="B7" s="89" t="str">
        <f>'SALES &amp; RATE'!B7</f>
        <v>AMRUT SILVER CUP</v>
      </c>
      <c r="C7" s="112">
        <v>0</v>
      </c>
      <c r="D7" s="142">
        <v>0</v>
      </c>
      <c r="E7" s="142">
        <v>0</v>
      </c>
      <c r="F7" s="143">
        <v>5</v>
      </c>
      <c r="G7" s="113">
        <v>0</v>
      </c>
    </row>
    <row r="8" spans="1:7" ht="22.95" customHeight="1" x14ac:dyDescent="0.3">
      <c r="A8" s="3">
        <v>5</v>
      </c>
      <c r="B8" s="89" t="str">
        <f>'SALES &amp; RATE'!B8</f>
        <v>HONEY BEE BRANDY</v>
      </c>
      <c r="C8" s="112">
        <v>0</v>
      </c>
      <c r="D8" s="142">
        <v>0</v>
      </c>
      <c r="E8" s="142">
        <v>0</v>
      </c>
      <c r="F8" s="143">
        <v>0</v>
      </c>
      <c r="G8" s="113">
        <v>0</v>
      </c>
    </row>
    <row r="9" spans="1:7" ht="22.95" customHeight="1" x14ac:dyDescent="0.3">
      <c r="A9" s="3">
        <v>6</v>
      </c>
      <c r="B9" s="89" t="str">
        <f>'SALES &amp; RATE'!B9</f>
        <v>O A BRANDY</v>
      </c>
      <c r="C9" s="112">
        <v>0</v>
      </c>
      <c r="D9" s="142">
        <v>0</v>
      </c>
      <c r="E9" s="142">
        <v>2</v>
      </c>
      <c r="F9" s="143">
        <v>1</v>
      </c>
      <c r="G9" s="113">
        <v>0</v>
      </c>
    </row>
    <row r="10" spans="1:7" ht="22.95" customHeight="1" x14ac:dyDescent="0.3">
      <c r="A10" s="3">
        <v>7</v>
      </c>
      <c r="B10" s="89" t="str">
        <f>'SALES &amp; RATE'!B10</f>
        <v>BEJOIS BRANDY</v>
      </c>
      <c r="C10" s="112">
        <v>0</v>
      </c>
      <c r="D10" s="142">
        <v>0</v>
      </c>
      <c r="E10" s="142">
        <v>2</v>
      </c>
      <c r="F10" s="143">
        <v>0</v>
      </c>
      <c r="G10" s="113">
        <v>0</v>
      </c>
    </row>
    <row r="11" spans="1:7" ht="22.95" customHeight="1" x14ac:dyDescent="0.3">
      <c r="A11" s="3">
        <v>8</v>
      </c>
      <c r="B11" s="89" t="str">
        <f>'SALES &amp; RATE'!B11</f>
        <v>MORPHIS BRANDY</v>
      </c>
      <c r="C11" s="112">
        <v>0</v>
      </c>
      <c r="D11" s="142">
        <v>0</v>
      </c>
      <c r="E11" s="142">
        <v>0</v>
      </c>
      <c r="F11" s="143">
        <v>0</v>
      </c>
      <c r="G11" s="113">
        <v>0</v>
      </c>
    </row>
    <row r="12" spans="1:7" ht="22.95" customHeight="1" x14ac:dyDescent="0.3">
      <c r="A12" s="3">
        <v>9</v>
      </c>
      <c r="B12" s="89" t="str">
        <f>'SALES &amp; RATE'!B12</f>
        <v>M C WHISKY</v>
      </c>
      <c r="C12" s="112">
        <v>0</v>
      </c>
      <c r="D12" s="142">
        <v>0</v>
      </c>
      <c r="E12" s="142">
        <v>1</v>
      </c>
      <c r="F12" s="143">
        <v>0</v>
      </c>
      <c r="G12" s="113">
        <v>0</v>
      </c>
    </row>
    <row r="13" spans="1:7" ht="22.95" customHeight="1" x14ac:dyDescent="0.3">
      <c r="A13" s="3">
        <v>10</v>
      </c>
      <c r="B13" s="89" t="str">
        <f>'SALES &amp; RATE'!B13</f>
        <v>BAGPIPER (W)</v>
      </c>
      <c r="C13" s="112">
        <v>0</v>
      </c>
      <c r="D13" s="142">
        <v>0</v>
      </c>
      <c r="E13" s="142">
        <v>0</v>
      </c>
      <c r="F13" s="143">
        <v>2</v>
      </c>
      <c r="G13" s="113">
        <v>0</v>
      </c>
    </row>
    <row r="14" spans="1:7" ht="22.95" customHeight="1" x14ac:dyDescent="0.3">
      <c r="A14" s="3">
        <v>11</v>
      </c>
      <c r="B14" s="89" t="str">
        <f>'SALES &amp; RATE'!B14</f>
        <v>SIGNATURE (W)</v>
      </c>
      <c r="C14" s="112">
        <v>0</v>
      </c>
      <c r="D14" s="142">
        <v>0</v>
      </c>
      <c r="E14" s="142">
        <v>0</v>
      </c>
      <c r="F14" s="143">
        <v>0</v>
      </c>
      <c r="G14" s="113">
        <v>0</v>
      </c>
    </row>
    <row r="15" spans="1:7" ht="22.95" customHeight="1" x14ac:dyDescent="0.3">
      <c r="A15" s="3">
        <v>12</v>
      </c>
      <c r="B15" s="89" t="str">
        <f>'SALES &amp; RATE'!B15</f>
        <v>O T WHISKY</v>
      </c>
      <c r="C15" s="112">
        <v>0</v>
      </c>
      <c r="D15" s="142">
        <v>0</v>
      </c>
      <c r="E15" s="142">
        <v>0</v>
      </c>
      <c r="F15" s="143">
        <v>0</v>
      </c>
      <c r="G15" s="113">
        <v>0</v>
      </c>
    </row>
    <row r="16" spans="1:7" ht="22.95" customHeight="1" x14ac:dyDescent="0.3">
      <c r="A16" s="3">
        <v>13</v>
      </c>
      <c r="B16" s="89" t="str">
        <f>'SALES &amp; RATE'!B16</f>
        <v>DSP BLACK(W)</v>
      </c>
      <c r="C16" s="112">
        <v>0</v>
      </c>
      <c r="D16" s="142">
        <v>0</v>
      </c>
      <c r="E16" s="142">
        <v>3</v>
      </c>
      <c r="F16" s="143">
        <v>2</v>
      </c>
      <c r="G16" s="113">
        <v>0</v>
      </c>
    </row>
    <row r="17" spans="1:7" ht="22.95" customHeight="1" x14ac:dyDescent="0.3">
      <c r="A17" s="3">
        <v>14</v>
      </c>
      <c r="B17" s="89" t="str">
        <f>'SALES &amp; RATE'!B17</f>
        <v>O C WHISKY</v>
      </c>
      <c r="C17" s="112">
        <v>0</v>
      </c>
      <c r="D17" s="142">
        <v>0</v>
      </c>
      <c r="E17" s="142">
        <v>0</v>
      </c>
      <c r="F17" s="143">
        <v>0</v>
      </c>
      <c r="G17" s="113">
        <v>0</v>
      </c>
    </row>
    <row r="18" spans="1:7" ht="22.95" customHeight="1" x14ac:dyDescent="0.3">
      <c r="A18" s="3">
        <v>15</v>
      </c>
      <c r="B18" s="89" t="str">
        <f>'SALES &amp; RATE'!B18</f>
        <v>R C WHISKY</v>
      </c>
      <c r="C18" s="112">
        <v>0</v>
      </c>
      <c r="D18" s="142">
        <v>0</v>
      </c>
      <c r="E18" s="142">
        <v>0</v>
      </c>
      <c r="F18" s="143">
        <v>0</v>
      </c>
      <c r="G18" s="113">
        <v>0</v>
      </c>
    </row>
    <row r="19" spans="1:7" ht="22.95" customHeight="1" x14ac:dyDescent="0.3">
      <c r="A19" s="3">
        <v>16</v>
      </c>
      <c r="B19" s="89" t="str">
        <f>'SALES &amp; RATE'!B19</f>
        <v>BLENDERS PRIDE</v>
      </c>
      <c r="C19" s="112">
        <v>0</v>
      </c>
      <c r="D19" s="142">
        <v>0</v>
      </c>
      <c r="E19" s="142">
        <v>0</v>
      </c>
      <c r="F19" s="143">
        <v>0</v>
      </c>
      <c r="G19" s="113">
        <v>0</v>
      </c>
    </row>
    <row r="20" spans="1:7" ht="22.95" customHeight="1" x14ac:dyDescent="0.3">
      <c r="A20" s="3">
        <v>17</v>
      </c>
      <c r="B20" s="89" t="str">
        <f>'SALES &amp; RATE'!B20</f>
        <v>AFTER DARK</v>
      </c>
      <c r="C20" s="112">
        <v>0</v>
      </c>
      <c r="D20" s="142">
        <v>0</v>
      </c>
      <c r="E20" s="142">
        <v>0</v>
      </c>
      <c r="F20" s="143">
        <v>0</v>
      </c>
      <c r="G20" s="113">
        <v>0</v>
      </c>
    </row>
    <row r="21" spans="1:7" ht="22.95" customHeight="1" x14ac:dyDescent="0.3">
      <c r="A21" s="3">
        <v>18</v>
      </c>
      <c r="B21" s="89" t="str">
        <f>'SALES &amp; RATE'!B21</f>
        <v>B'LORE MALT (W)</v>
      </c>
      <c r="C21" s="112">
        <v>0</v>
      </c>
      <c r="D21" s="142">
        <v>0</v>
      </c>
      <c r="E21" s="142">
        <v>0</v>
      </c>
      <c r="F21" s="143">
        <v>2</v>
      </c>
      <c r="G21" s="113">
        <v>0</v>
      </c>
    </row>
    <row r="22" spans="1:7" ht="22.95" customHeight="1" x14ac:dyDescent="0.3">
      <c r="A22" s="3">
        <v>19</v>
      </c>
      <c r="B22" s="89">
        <f>'SALES &amp; RATE'!B22</f>
        <v>0</v>
      </c>
      <c r="C22" s="112">
        <v>0</v>
      </c>
      <c r="D22" s="142">
        <v>0</v>
      </c>
      <c r="E22" s="142">
        <v>0</v>
      </c>
      <c r="F22" s="143">
        <v>0</v>
      </c>
      <c r="G22" s="113">
        <v>0</v>
      </c>
    </row>
    <row r="23" spans="1:7" ht="22.95" customHeight="1" x14ac:dyDescent="0.3">
      <c r="A23" s="3">
        <v>20</v>
      </c>
      <c r="B23" s="89" t="str">
        <f>'SALES &amp; RATE'!B23</f>
        <v>ROYAL STAGE</v>
      </c>
      <c r="C23" s="112">
        <v>0</v>
      </c>
      <c r="D23" s="142">
        <v>0</v>
      </c>
      <c r="E23" s="142">
        <v>1</v>
      </c>
      <c r="F23" s="143">
        <v>0</v>
      </c>
      <c r="G23" s="113">
        <v>0</v>
      </c>
    </row>
    <row r="24" spans="1:7" ht="22.95" customHeight="1" x14ac:dyDescent="0.3">
      <c r="A24" s="3">
        <v>21</v>
      </c>
      <c r="B24" s="89" t="str">
        <f>'SALES &amp; RATE'!B24</f>
        <v>HAYWARDS(W)</v>
      </c>
      <c r="C24" s="112">
        <v>0</v>
      </c>
      <c r="D24" s="142">
        <v>0</v>
      </c>
      <c r="E24" s="142">
        <v>0</v>
      </c>
      <c r="F24" s="143">
        <v>0</v>
      </c>
      <c r="G24" s="113">
        <v>0</v>
      </c>
    </row>
    <row r="25" spans="1:7" ht="22.95" customHeight="1" x14ac:dyDescent="0.3">
      <c r="A25" s="3">
        <v>22</v>
      </c>
      <c r="B25" s="89" t="str">
        <f>'SALES &amp; RATE'!B25</f>
        <v xml:space="preserve">CNB RED </v>
      </c>
      <c r="C25" s="112">
        <v>0</v>
      </c>
      <c r="D25" s="142">
        <v>0</v>
      </c>
      <c r="E25" s="142">
        <v>0</v>
      </c>
      <c r="F25" s="143">
        <v>0</v>
      </c>
      <c r="G25" s="113">
        <v>0</v>
      </c>
    </row>
    <row r="26" spans="1:7" ht="22.95" customHeight="1" x14ac:dyDescent="0.3">
      <c r="A26" s="3">
        <v>23</v>
      </c>
      <c r="B26" s="89" t="str">
        <f>'SALES &amp; RATE'!B26</f>
        <v>8.PM (W)</v>
      </c>
      <c r="C26" s="112">
        <v>0</v>
      </c>
      <c r="D26" s="142">
        <v>0</v>
      </c>
      <c r="E26" s="142">
        <v>1</v>
      </c>
      <c r="F26" s="143">
        <v>0</v>
      </c>
      <c r="G26" s="113">
        <v>0</v>
      </c>
    </row>
    <row r="27" spans="1:7" ht="22.95" customHeight="1" x14ac:dyDescent="0.3">
      <c r="A27" s="3">
        <v>24</v>
      </c>
      <c r="B27" s="89" t="str">
        <f>'SALES &amp; RATE'!B27</f>
        <v>IMPERIAL BLUE(W)</v>
      </c>
      <c r="C27" s="112">
        <v>0</v>
      </c>
      <c r="D27" s="142">
        <v>0</v>
      </c>
      <c r="E27" s="142">
        <v>2</v>
      </c>
      <c r="F27" s="143">
        <v>1</v>
      </c>
      <c r="G27" s="113">
        <v>0</v>
      </c>
    </row>
    <row r="28" spans="1:7" ht="22.95" customHeight="1" x14ac:dyDescent="0.3">
      <c r="A28" s="3">
        <v>25</v>
      </c>
      <c r="B28" s="89" t="str">
        <f>'SALES &amp; RATE'!B28</f>
        <v>BLACK DOG(8)YRS</v>
      </c>
      <c r="C28" s="112">
        <v>0</v>
      </c>
      <c r="D28" s="142">
        <v>0</v>
      </c>
      <c r="E28" s="142">
        <v>0</v>
      </c>
      <c r="F28" s="143">
        <v>0</v>
      </c>
      <c r="G28" s="113">
        <v>0</v>
      </c>
    </row>
    <row r="29" spans="1:7" ht="22.95" customHeight="1" x14ac:dyDescent="0.3">
      <c r="A29" s="3">
        <v>26</v>
      </c>
      <c r="B29" s="89" t="str">
        <f>'SALES &amp; RATE'!B29</f>
        <v>100 PIPERS</v>
      </c>
      <c r="C29" s="112">
        <v>0</v>
      </c>
      <c r="D29" s="142">
        <v>0</v>
      </c>
      <c r="E29" s="142">
        <v>0</v>
      </c>
      <c r="F29" s="143">
        <v>0</v>
      </c>
      <c r="G29" s="113">
        <v>0</v>
      </c>
    </row>
    <row r="30" spans="1:7" ht="22.95" customHeight="1" x14ac:dyDescent="0.3">
      <c r="A30" s="3">
        <v>27</v>
      </c>
      <c r="B30" s="89" t="str">
        <f>'SALES &amp; RATE'!B30</f>
        <v>8.PM (W) BLUE</v>
      </c>
      <c r="C30" s="112">
        <v>0</v>
      </c>
      <c r="D30" s="142">
        <v>0</v>
      </c>
      <c r="E30" s="142">
        <v>0</v>
      </c>
      <c r="F30" s="143">
        <v>0</v>
      </c>
      <c r="G30" s="113">
        <v>0</v>
      </c>
    </row>
    <row r="31" spans="1:7" ht="22.95" customHeight="1" x14ac:dyDescent="0.3">
      <c r="A31" s="3">
        <v>28</v>
      </c>
      <c r="B31" s="89" t="str">
        <f>'SALES &amp; RATE'!B31</f>
        <v>TEACHERS HIGH</v>
      </c>
      <c r="C31" s="112">
        <v>0</v>
      </c>
      <c r="D31" s="142">
        <v>0</v>
      </c>
      <c r="E31" s="142">
        <v>0</v>
      </c>
      <c r="F31" s="143">
        <v>0</v>
      </c>
      <c r="G31" s="113">
        <v>0</v>
      </c>
    </row>
    <row r="32" spans="1:7" ht="22.95" customHeight="1" x14ac:dyDescent="0.3">
      <c r="A32" s="3">
        <v>29</v>
      </c>
      <c r="B32" s="89" t="str">
        <f>'SALES &amp; RATE'!B32</f>
        <v>ANTIQUITY BLUE(W)</v>
      </c>
      <c r="C32" s="112">
        <v>0</v>
      </c>
      <c r="D32" s="142">
        <v>0</v>
      </c>
      <c r="E32" s="142">
        <v>0</v>
      </c>
      <c r="F32" s="143">
        <v>0</v>
      </c>
      <c r="G32" s="113">
        <v>0</v>
      </c>
    </row>
    <row r="33" spans="1:7" ht="22.95" customHeight="1" x14ac:dyDescent="0.3">
      <c r="A33" s="3">
        <v>30</v>
      </c>
      <c r="B33" s="89">
        <f>'SALES &amp; RATE'!B33</f>
        <v>0</v>
      </c>
      <c r="C33" s="112">
        <v>0</v>
      </c>
      <c r="D33" s="142">
        <v>0</v>
      </c>
      <c r="E33" s="142">
        <v>0</v>
      </c>
      <c r="F33" s="143">
        <v>0</v>
      </c>
      <c r="G33" s="113">
        <v>0</v>
      </c>
    </row>
    <row r="34" spans="1:7" ht="22.95" customHeight="1" x14ac:dyDescent="0.3">
      <c r="A34" s="3">
        <v>31</v>
      </c>
      <c r="B34" s="89" t="str">
        <f>'SALES &amp; RATE'!B34</f>
        <v>VAT 69</v>
      </c>
      <c r="C34" s="112">
        <v>0</v>
      </c>
      <c r="D34" s="142">
        <v>0</v>
      </c>
      <c r="E34" s="142">
        <v>0</v>
      </c>
      <c r="F34" s="143">
        <v>0</v>
      </c>
      <c r="G34" s="113">
        <v>0</v>
      </c>
    </row>
    <row r="35" spans="1:7" ht="22.95" customHeight="1" x14ac:dyDescent="0.3">
      <c r="A35" s="3">
        <v>32</v>
      </c>
      <c r="B35" s="89" t="str">
        <f>'SALES &amp; RATE'!B35</f>
        <v>HERCULES RUM</v>
      </c>
      <c r="C35" s="112">
        <v>0</v>
      </c>
      <c r="D35" s="142">
        <v>0</v>
      </c>
      <c r="E35" s="142">
        <v>1</v>
      </c>
      <c r="F35" s="143">
        <v>0</v>
      </c>
      <c r="G35" s="113">
        <v>0</v>
      </c>
    </row>
    <row r="36" spans="1:7" ht="22.95" customHeight="1" x14ac:dyDescent="0.3">
      <c r="A36" s="3">
        <v>33</v>
      </c>
      <c r="B36" s="89" t="str">
        <f>'SALES &amp; RATE'!B36</f>
        <v>M C RUM</v>
      </c>
      <c r="C36" s="112">
        <v>0</v>
      </c>
      <c r="D36" s="142">
        <v>0</v>
      </c>
      <c r="E36" s="142">
        <v>0</v>
      </c>
      <c r="F36" s="143">
        <v>0</v>
      </c>
      <c r="G36" s="113">
        <v>0</v>
      </c>
    </row>
    <row r="37" spans="1:7" ht="22.95" customHeight="1" x14ac:dyDescent="0.3">
      <c r="A37" s="3">
        <v>34</v>
      </c>
      <c r="B37" s="89" t="str">
        <f>'SALES &amp; RATE'!B37</f>
        <v>OLD MONK RUM</v>
      </c>
      <c r="C37" s="112">
        <v>0</v>
      </c>
      <c r="D37" s="142">
        <v>0</v>
      </c>
      <c r="E37" s="142">
        <v>2</v>
      </c>
      <c r="F37" s="143">
        <v>2</v>
      </c>
      <c r="G37" s="113">
        <v>0</v>
      </c>
    </row>
    <row r="38" spans="1:7" ht="22.95" customHeight="1" x14ac:dyDescent="0.3">
      <c r="A38" s="3">
        <v>35</v>
      </c>
      <c r="B38" s="89" t="str">
        <f>'SALES &amp; RATE'!B38</f>
        <v>MC RUM CLASSIC</v>
      </c>
      <c r="C38" s="112">
        <v>0</v>
      </c>
      <c r="D38" s="142">
        <v>0</v>
      </c>
      <c r="E38" s="142">
        <v>1</v>
      </c>
      <c r="F38" s="143">
        <v>0</v>
      </c>
      <c r="G38" s="113">
        <v>0</v>
      </c>
    </row>
    <row r="39" spans="1:7" ht="22.95" customHeight="1" x14ac:dyDescent="0.3">
      <c r="A39" s="3">
        <v>36</v>
      </c>
      <c r="B39" s="89">
        <f>'SALES &amp; RATE'!B39</f>
        <v>0</v>
      </c>
      <c r="C39" s="112">
        <v>0</v>
      </c>
      <c r="D39" s="142">
        <v>0</v>
      </c>
      <c r="E39" s="142">
        <v>0</v>
      </c>
      <c r="F39" s="143">
        <v>0</v>
      </c>
      <c r="G39" s="113">
        <v>0</v>
      </c>
    </row>
    <row r="40" spans="1:7" ht="22.95" customHeight="1" x14ac:dyDescent="0.3">
      <c r="A40" s="3">
        <v>37</v>
      </c>
      <c r="B40" s="89" t="str">
        <f>'SALES &amp; RATE'!B40</f>
        <v>BAGPIPER RUM</v>
      </c>
      <c r="C40" s="112">
        <v>0</v>
      </c>
      <c r="D40" s="142">
        <v>0</v>
      </c>
      <c r="E40" s="142">
        <v>2</v>
      </c>
      <c r="F40" s="143">
        <v>0</v>
      </c>
      <c r="G40" s="113">
        <v>0</v>
      </c>
    </row>
    <row r="41" spans="1:7" ht="22.95" customHeight="1" x14ac:dyDescent="0.3">
      <c r="A41" s="3">
        <v>38</v>
      </c>
      <c r="B41" s="89" t="str">
        <f>'SALES &amp; RATE'!B41</f>
        <v>BACARDI  ORN+APP+LIM</v>
      </c>
      <c r="C41" s="112">
        <v>0</v>
      </c>
      <c r="D41" s="142">
        <v>0</v>
      </c>
      <c r="E41" s="142">
        <v>0</v>
      </c>
      <c r="F41" s="143">
        <v>0</v>
      </c>
      <c r="G41" s="113">
        <v>0</v>
      </c>
    </row>
    <row r="42" spans="1:7" ht="22.95" customHeight="1" x14ac:dyDescent="0.3">
      <c r="A42" s="3">
        <v>39</v>
      </c>
      <c r="B42" s="89" t="str">
        <f>'SALES &amp; RATE'!B42</f>
        <v>LEGACY RUM</v>
      </c>
      <c r="C42" s="112">
        <v>0</v>
      </c>
      <c r="D42" s="142">
        <v>0</v>
      </c>
      <c r="E42" s="142">
        <v>0</v>
      </c>
      <c r="F42" s="143">
        <v>0</v>
      </c>
      <c r="G42" s="113">
        <v>0</v>
      </c>
    </row>
    <row r="43" spans="1:7" ht="22.95" customHeight="1" x14ac:dyDescent="0.3">
      <c r="A43" s="3">
        <v>40</v>
      </c>
      <c r="B43" s="89" t="str">
        <f>'SALES &amp; RATE'!B43</f>
        <v>B'LORE RUM</v>
      </c>
      <c r="C43" s="112">
        <v>0</v>
      </c>
      <c r="D43" s="142">
        <v>0</v>
      </c>
      <c r="E43" s="142">
        <v>0</v>
      </c>
      <c r="F43" s="143">
        <v>0</v>
      </c>
      <c r="G43" s="113">
        <v>0</v>
      </c>
    </row>
    <row r="44" spans="1:7" ht="22.95" customHeight="1" x14ac:dyDescent="0.3">
      <c r="A44" s="43">
        <v>41</v>
      </c>
      <c r="B44" s="89" t="str">
        <f>'SALES &amp; RATE'!B44</f>
        <v>AMRUT RUM</v>
      </c>
      <c r="C44" s="112">
        <v>0</v>
      </c>
      <c r="D44" s="142">
        <v>0</v>
      </c>
      <c r="E44" s="142">
        <v>2</v>
      </c>
      <c r="F44" s="143">
        <v>0</v>
      </c>
      <c r="G44" s="113">
        <v>0</v>
      </c>
    </row>
    <row r="45" spans="1:7" ht="22.95" customHeight="1" x14ac:dyDescent="0.3">
      <c r="A45" s="3">
        <v>42</v>
      </c>
      <c r="B45" s="89" t="str">
        <f>'SALES &amp; RATE'!B45</f>
        <v>BLACK &amp; WHITE (8)YRS</v>
      </c>
      <c r="C45" s="112">
        <v>0</v>
      </c>
      <c r="D45" s="142">
        <v>0</v>
      </c>
      <c r="E45" s="142">
        <v>0</v>
      </c>
      <c r="F45" s="143">
        <v>0</v>
      </c>
      <c r="G45" s="113">
        <v>0</v>
      </c>
    </row>
    <row r="46" spans="1:7" ht="22.95" customHeight="1" x14ac:dyDescent="0.3">
      <c r="A46" s="43">
        <v>43</v>
      </c>
      <c r="B46" s="89" t="str">
        <f>'SALES &amp; RATE'!B46</f>
        <v>COURIOR NEPOLIN BRANDY</v>
      </c>
      <c r="C46" s="112">
        <v>0</v>
      </c>
      <c r="D46" s="142">
        <v>0</v>
      </c>
      <c r="E46" s="142">
        <v>0</v>
      </c>
      <c r="F46" s="143">
        <v>0</v>
      </c>
      <c r="G46" s="113">
        <v>0</v>
      </c>
    </row>
    <row r="47" spans="1:7" ht="22.95" customHeight="1" x14ac:dyDescent="0.3">
      <c r="A47" s="3">
        <v>44</v>
      </c>
      <c r="B47" s="89" t="str">
        <f>'SALES &amp; RATE'!B47</f>
        <v>FIREBALL</v>
      </c>
      <c r="C47" s="112">
        <v>0</v>
      </c>
      <c r="D47" s="142">
        <v>0</v>
      </c>
      <c r="E47" s="142">
        <v>0</v>
      </c>
      <c r="F47" s="143">
        <v>0</v>
      </c>
      <c r="G47" s="113">
        <v>0</v>
      </c>
    </row>
    <row r="48" spans="1:7" ht="22.95" customHeight="1" x14ac:dyDescent="0.3">
      <c r="A48" s="43">
        <v>45</v>
      </c>
      <c r="B48" s="89" t="str">
        <f>'SALES &amp; RATE'!B48</f>
        <v>HONEY CUP BRANDY</v>
      </c>
      <c r="C48" s="112">
        <v>0</v>
      </c>
      <c r="D48" s="142">
        <v>0</v>
      </c>
      <c r="E48" s="142">
        <v>0</v>
      </c>
      <c r="F48" s="143">
        <v>0</v>
      </c>
      <c r="G48" s="113">
        <v>0</v>
      </c>
    </row>
    <row r="49" spans="1:7" ht="22.95" customHeight="1" x14ac:dyDescent="0.3">
      <c r="A49" s="3">
        <v>46</v>
      </c>
      <c r="B49" s="89" t="str">
        <f>'SALES &amp; RATE'!B49</f>
        <v>ROULETTE BRANDY</v>
      </c>
      <c r="C49" s="112">
        <v>0</v>
      </c>
      <c r="D49" s="142">
        <v>0</v>
      </c>
      <c r="E49" s="142">
        <v>0</v>
      </c>
      <c r="F49" s="143">
        <v>0</v>
      </c>
      <c r="G49" s="113">
        <v>0</v>
      </c>
    </row>
    <row r="50" spans="1:7" ht="22.95" customHeight="1" thickBot="1" x14ac:dyDescent="0.35">
      <c r="A50" s="41">
        <v>47</v>
      </c>
      <c r="B50" s="90">
        <f>'SALES &amp; RATE'!B50</f>
        <v>0</v>
      </c>
      <c r="C50" s="114">
        <v>0</v>
      </c>
      <c r="D50" s="144">
        <v>0</v>
      </c>
      <c r="E50" s="144">
        <v>0</v>
      </c>
      <c r="F50" s="145">
        <v>0</v>
      </c>
      <c r="G50" s="115">
        <v>0</v>
      </c>
    </row>
    <row r="51" spans="1:7" ht="22.95" customHeight="1" thickBot="1" x14ac:dyDescent="0.35">
      <c r="A51" s="281" t="s">
        <v>112</v>
      </c>
      <c r="B51" s="282"/>
      <c r="C51" s="285" t="s">
        <v>103</v>
      </c>
      <c r="D51" s="286"/>
      <c r="E51" s="286"/>
      <c r="F51" s="286"/>
      <c r="G51" s="287"/>
    </row>
    <row r="52" spans="1:7" ht="22.95" customHeight="1" x14ac:dyDescent="0.3">
      <c r="A52" s="283"/>
      <c r="B52" s="284"/>
      <c r="C52" s="171" t="s">
        <v>4</v>
      </c>
      <c r="D52" s="172" t="s">
        <v>5</v>
      </c>
      <c r="E52" s="172" t="s">
        <v>6</v>
      </c>
      <c r="F52" s="173" t="s">
        <v>7</v>
      </c>
      <c r="G52" s="174" t="s">
        <v>8</v>
      </c>
    </row>
    <row r="53" spans="1:7" ht="22.95" customHeight="1" x14ac:dyDescent="0.3">
      <c r="A53" s="169" t="s">
        <v>9</v>
      </c>
      <c r="B53" s="170" t="s">
        <v>13</v>
      </c>
      <c r="C53" s="161" t="s">
        <v>2</v>
      </c>
      <c r="D53" s="175" t="s">
        <v>10</v>
      </c>
      <c r="E53" s="175" t="s">
        <v>11</v>
      </c>
      <c r="F53" s="176" t="s">
        <v>12</v>
      </c>
      <c r="G53" s="168" t="s">
        <v>77</v>
      </c>
    </row>
    <row r="54" spans="1:7" ht="22.95" customHeight="1" x14ac:dyDescent="0.3">
      <c r="A54" s="3">
        <v>1</v>
      </c>
      <c r="B54" s="89" t="str">
        <f>'SALES &amp; RATE'!B54</f>
        <v>CARNIVAL GIN</v>
      </c>
      <c r="C54" s="112">
        <v>0</v>
      </c>
      <c r="D54" s="142">
        <v>0</v>
      </c>
      <c r="E54" s="142">
        <v>0</v>
      </c>
      <c r="F54" s="143">
        <v>0</v>
      </c>
      <c r="G54" s="113">
        <v>0</v>
      </c>
    </row>
    <row r="55" spans="1:7" ht="22.95" customHeight="1" x14ac:dyDescent="0.3">
      <c r="A55" s="3">
        <v>2</v>
      </c>
      <c r="B55" s="89" t="str">
        <f>'SALES &amp; RATE'!B55</f>
        <v>SMIRNOFF VODKA</v>
      </c>
      <c r="C55" s="112">
        <v>0</v>
      </c>
      <c r="D55" s="142">
        <v>0</v>
      </c>
      <c r="E55" s="142">
        <v>0</v>
      </c>
      <c r="F55" s="143">
        <v>0</v>
      </c>
      <c r="G55" s="113">
        <v>0</v>
      </c>
    </row>
    <row r="56" spans="1:7" ht="22.95" customHeight="1" x14ac:dyDescent="0.3">
      <c r="A56" s="3">
        <v>3</v>
      </c>
      <c r="B56" s="89" t="str">
        <f>'SALES &amp; RATE'!B56</f>
        <v>MUSCOVY LEMON</v>
      </c>
      <c r="C56" s="112">
        <v>0</v>
      </c>
      <c r="D56" s="142">
        <v>0</v>
      </c>
      <c r="E56" s="142">
        <v>0</v>
      </c>
      <c r="F56" s="143">
        <v>0</v>
      </c>
      <c r="G56" s="113">
        <v>0</v>
      </c>
    </row>
    <row r="57" spans="1:7" ht="22.95" customHeight="1" x14ac:dyDescent="0.3">
      <c r="A57" s="3">
        <v>4</v>
      </c>
      <c r="B57" s="89" t="str">
        <f>'SALES &amp; RATE'!B57</f>
        <v>MUSCOVY VODKA</v>
      </c>
      <c r="C57" s="112">
        <v>0</v>
      </c>
      <c r="D57" s="142">
        <v>0</v>
      </c>
      <c r="E57" s="142">
        <v>2</v>
      </c>
      <c r="F57" s="143">
        <v>1</v>
      </c>
      <c r="G57" s="113">
        <v>0</v>
      </c>
    </row>
    <row r="58" spans="1:7" ht="22.95" customHeight="1" x14ac:dyDescent="0.3">
      <c r="A58" s="3">
        <v>5</v>
      </c>
      <c r="B58" s="89" t="str">
        <f>'SALES &amp; RATE'!B58</f>
        <v>ROMANOV VODKA</v>
      </c>
      <c r="C58" s="112">
        <v>0</v>
      </c>
      <c r="D58" s="142">
        <v>0</v>
      </c>
      <c r="E58" s="142">
        <v>0</v>
      </c>
      <c r="F58" s="143">
        <v>1</v>
      </c>
      <c r="G58" s="113">
        <v>0</v>
      </c>
    </row>
    <row r="59" spans="1:7" ht="22.95" customHeight="1" x14ac:dyDescent="0.3">
      <c r="A59" s="3">
        <v>6</v>
      </c>
      <c r="B59" s="89" t="str">
        <f>'SALES &amp; RATE'!B59</f>
        <v>GONAS WINE</v>
      </c>
      <c r="C59" s="112">
        <v>0</v>
      </c>
      <c r="D59" s="142">
        <v>0</v>
      </c>
      <c r="E59" s="142">
        <v>0</v>
      </c>
      <c r="F59" s="143">
        <v>0</v>
      </c>
      <c r="G59" s="113">
        <v>0</v>
      </c>
    </row>
    <row r="60" spans="1:7" ht="22.95" customHeight="1" x14ac:dyDescent="0.3">
      <c r="A60" s="3">
        <v>7</v>
      </c>
      <c r="B60" s="89" t="str">
        <f>'SALES &amp; RATE'!B60</f>
        <v>MAGIC PORT WINE</v>
      </c>
      <c r="C60" s="112">
        <v>0</v>
      </c>
      <c r="D60" s="142">
        <v>0</v>
      </c>
      <c r="E60" s="142">
        <v>0</v>
      </c>
      <c r="F60" s="143">
        <v>0</v>
      </c>
      <c r="G60" s="113">
        <v>0</v>
      </c>
    </row>
    <row r="61" spans="1:7" ht="22.95" customHeight="1" x14ac:dyDescent="0.3">
      <c r="A61" s="3">
        <v>8</v>
      </c>
      <c r="B61" s="89" t="str">
        <f>'SALES &amp; RATE'!B61</f>
        <v>SIDDUS WINE</v>
      </c>
      <c r="C61" s="112">
        <v>0</v>
      </c>
      <c r="D61" s="142">
        <v>0</v>
      </c>
      <c r="E61" s="142">
        <v>0</v>
      </c>
      <c r="F61" s="143">
        <v>0</v>
      </c>
      <c r="G61" s="113">
        <v>0</v>
      </c>
    </row>
    <row r="62" spans="1:7" ht="22.95" customHeight="1" x14ac:dyDescent="0.3">
      <c r="A62" s="3">
        <v>9</v>
      </c>
      <c r="B62" s="89" t="str">
        <f>'SALES &amp; RATE'!B62</f>
        <v>VEGA WINE</v>
      </c>
      <c r="C62" s="112">
        <v>0</v>
      </c>
      <c r="D62" s="142">
        <v>0</v>
      </c>
      <c r="E62" s="142">
        <v>0</v>
      </c>
      <c r="F62" s="143">
        <v>0</v>
      </c>
      <c r="G62" s="113">
        <v>0</v>
      </c>
    </row>
    <row r="63" spans="1:7" ht="22.95" customHeight="1" x14ac:dyDescent="0.3">
      <c r="A63" s="3">
        <v>10</v>
      </c>
      <c r="B63" s="89">
        <f>'SALES &amp; RATE'!B63</f>
        <v>0</v>
      </c>
      <c r="C63" s="112">
        <v>0</v>
      </c>
      <c r="D63" s="142">
        <v>0</v>
      </c>
      <c r="E63" s="142">
        <v>0</v>
      </c>
      <c r="F63" s="143">
        <v>0</v>
      </c>
      <c r="G63" s="113">
        <v>0</v>
      </c>
    </row>
    <row r="64" spans="1:7" ht="22.95" customHeight="1" x14ac:dyDescent="0.3">
      <c r="A64" s="3">
        <v>11</v>
      </c>
      <c r="B64" s="89" t="str">
        <f>'SALES &amp; RATE'!B64</f>
        <v>MAGIC MOMENTS</v>
      </c>
      <c r="C64" s="112">
        <v>0</v>
      </c>
      <c r="D64" s="142">
        <v>0</v>
      </c>
      <c r="E64" s="142">
        <v>1</v>
      </c>
      <c r="F64" s="143">
        <v>0</v>
      </c>
      <c r="G64" s="113">
        <v>1</v>
      </c>
    </row>
    <row r="65" spans="1:7" ht="22.95" customHeight="1" x14ac:dyDescent="0.3">
      <c r="A65" s="3">
        <v>12</v>
      </c>
      <c r="B65" s="89" t="str">
        <f>'SALES &amp; RATE'!B65</f>
        <v>BRO CODE</v>
      </c>
      <c r="C65" s="112">
        <v>0</v>
      </c>
      <c r="D65" s="142">
        <v>0</v>
      </c>
      <c r="E65" s="142">
        <v>0</v>
      </c>
      <c r="F65" s="143">
        <v>0</v>
      </c>
      <c r="G65" s="113">
        <v>0</v>
      </c>
    </row>
    <row r="66" spans="1:7" ht="22.95" customHeight="1" x14ac:dyDescent="0.3">
      <c r="A66" s="3">
        <v>13</v>
      </c>
      <c r="B66" s="89" t="str">
        <f>'SALES &amp; RATE'!B66</f>
        <v>TANGO RED WINE</v>
      </c>
      <c r="C66" s="112">
        <v>0</v>
      </c>
      <c r="D66" s="142">
        <v>0</v>
      </c>
      <c r="E66" s="142">
        <v>0</v>
      </c>
      <c r="F66" s="143">
        <v>0</v>
      </c>
      <c r="G66" s="113">
        <v>0</v>
      </c>
    </row>
    <row r="67" spans="1:7" ht="22.95" customHeight="1" x14ac:dyDescent="0.3">
      <c r="A67" s="3">
        <v>14</v>
      </c>
      <c r="B67" s="89" t="str">
        <f>'SALES &amp; RATE'!B67</f>
        <v>BUZZ BALL</v>
      </c>
      <c r="C67" s="112">
        <v>0</v>
      </c>
      <c r="D67" s="142">
        <v>0</v>
      </c>
      <c r="E67" s="142">
        <v>1</v>
      </c>
      <c r="F67" s="143">
        <v>0</v>
      </c>
      <c r="G67" s="113">
        <v>0</v>
      </c>
    </row>
    <row r="68" spans="1:7" ht="22.95" customHeight="1" x14ac:dyDescent="0.3">
      <c r="A68" s="3">
        <v>15</v>
      </c>
      <c r="B68" s="89">
        <f>'SALES &amp; RATE'!B68</f>
        <v>0</v>
      </c>
      <c r="C68" s="112">
        <v>0</v>
      </c>
      <c r="D68" s="142">
        <v>0</v>
      </c>
      <c r="E68" s="142">
        <v>0</v>
      </c>
      <c r="F68" s="143">
        <v>0</v>
      </c>
      <c r="G68" s="113">
        <v>0</v>
      </c>
    </row>
    <row r="69" spans="1:7" ht="22.95" customHeight="1" x14ac:dyDescent="0.3">
      <c r="A69" s="3">
        <v>16</v>
      </c>
      <c r="B69" s="89">
        <f>'SALES &amp; RATE'!B69</f>
        <v>0</v>
      </c>
      <c r="C69" s="112">
        <v>0</v>
      </c>
      <c r="D69" s="142">
        <v>0</v>
      </c>
      <c r="E69" s="142">
        <v>0</v>
      </c>
      <c r="F69" s="143">
        <v>0</v>
      </c>
      <c r="G69" s="113">
        <v>0</v>
      </c>
    </row>
    <row r="70" spans="1:7" ht="22.95" customHeight="1" x14ac:dyDescent="0.3">
      <c r="A70" s="3">
        <v>17</v>
      </c>
      <c r="B70" s="89">
        <f>'SALES &amp; RATE'!B70</f>
        <v>0</v>
      </c>
      <c r="C70" s="112">
        <v>0</v>
      </c>
      <c r="D70" s="142">
        <v>0</v>
      </c>
      <c r="E70" s="142">
        <v>0</v>
      </c>
      <c r="F70" s="143">
        <v>0</v>
      </c>
      <c r="G70" s="113">
        <v>0</v>
      </c>
    </row>
    <row r="71" spans="1:7" ht="22.95" customHeight="1" thickBot="1" x14ac:dyDescent="0.35">
      <c r="A71" s="41">
        <v>18</v>
      </c>
      <c r="B71" s="89">
        <f>'SALES &amp; RATE'!B71</f>
        <v>0</v>
      </c>
      <c r="C71" s="114">
        <v>0</v>
      </c>
      <c r="D71" s="144">
        <v>0</v>
      </c>
      <c r="E71" s="144">
        <v>0</v>
      </c>
      <c r="F71" s="145">
        <v>0</v>
      </c>
      <c r="G71" s="115">
        <v>0</v>
      </c>
    </row>
    <row r="72" spans="1:7" ht="22.95" customHeight="1" thickBot="1" x14ac:dyDescent="0.35">
      <c r="A72" s="299" t="s">
        <v>14</v>
      </c>
      <c r="B72" s="300"/>
      <c r="C72" s="295" t="s">
        <v>103</v>
      </c>
      <c r="D72" s="296"/>
      <c r="E72" s="296"/>
      <c r="F72" s="296"/>
      <c r="G72" s="298"/>
    </row>
    <row r="73" spans="1:7" ht="22.95" customHeight="1" x14ac:dyDescent="0.3">
      <c r="A73" s="301"/>
      <c r="B73" s="302"/>
      <c r="C73" s="18" t="s">
        <v>15</v>
      </c>
      <c r="D73" s="70" t="s">
        <v>85</v>
      </c>
      <c r="E73" s="70" t="s">
        <v>86</v>
      </c>
      <c r="F73" s="17" t="s">
        <v>87</v>
      </c>
      <c r="G73" s="303"/>
    </row>
    <row r="74" spans="1:7" ht="22.95" customHeight="1" x14ac:dyDescent="0.3">
      <c r="A74" s="37" t="s">
        <v>9</v>
      </c>
      <c r="B74" s="38" t="s">
        <v>13</v>
      </c>
      <c r="C74" s="5" t="s">
        <v>2</v>
      </c>
      <c r="D74" s="69" t="s">
        <v>10</v>
      </c>
      <c r="E74" s="69" t="s">
        <v>10</v>
      </c>
      <c r="F74" s="6" t="s">
        <v>10</v>
      </c>
      <c r="G74" s="304"/>
    </row>
    <row r="75" spans="1:7" ht="22.95" customHeight="1" x14ac:dyDescent="0.3">
      <c r="A75" s="3">
        <v>1</v>
      </c>
      <c r="B75" s="89" t="str">
        <f>'SALES &amp; RATE'!B75</f>
        <v>K.F PREMIUM</v>
      </c>
      <c r="C75" s="112">
        <v>0</v>
      </c>
      <c r="D75" s="142">
        <v>0</v>
      </c>
      <c r="E75" s="142">
        <v>0</v>
      </c>
      <c r="F75" s="116">
        <v>0</v>
      </c>
      <c r="G75" s="146"/>
    </row>
    <row r="76" spans="1:7" ht="22.95" customHeight="1" x14ac:dyDescent="0.3">
      <c r="A76" s="3">
        <v>2</v>
      </c>
      <c r="B76" s="89" t="str">
        <f>'SALES &amp; RATE'!B76</f>
        <v>K.F STRONG</v>
      </c>
      <c r="C76" s="112">
        <v>50</v>
      </c>
      <c r="D76" s="142">
        <v>2</v>
      </c>
      <c r="E76" s="142">
        <v>3</v>
      </c>
      <c r="F76" s="116">
        <v>1</v>
      </c>
      <c r="G76" s="147"/>
    </row>
    <row r="77" spans="1:7" ht="22.95" customHeight="1" x14ac:dyDescent="0.3">
      <c r="A77" s="3">
        <v>3</v>
      </c>
      <c r="B77" s="89" t="str">
        <f>'SALES &amp; RATE'!B77</f>
        <v>U.B EXPORT</v>
      </c>
      <c r="C77" s="112">
        <v>0</v>
      </c>
      <c r="D77" s="142">
        <v>0</v>
      </c>
      <c r="E77" s="142">
        <v>0</v>
      </c>
      <c r="F77" s="116">
        <v>0</v>
      </c>
      <c r="G77" s="147"/>
    </row>
    <row r="78" spans="1:7" ht="22.95" customHeight="1" x14ac:dyDescent="0.3">
      <c r="A78" s="3">
        <v>4</v>
      </c>
      <c r="B78" s="89" t="str">
        <f>'SALES &amp; RATE'!B78</f>
        <v>KNOCK OUT</v>
      </c>
      <c r="C78" s="112">
        <v>5</v>
      </c>
      <c r="D78" s="142">
        <v>0</v>
      </c>
      <c r="E78" s="142">
        <v>0</v>
      </c>
      <c r="F78" s="116">
        <v>0</v>
      </c>
      <c r="G78" s="146"/>
    </row>
    <row r="79" spans="1:7" ht="22.95" customHeight="1" x14ac:dyDescent="0.3">
      <c r="A79" s="3">
        <v>5</v>
      </c>
      <c r="B79" s="89" t="str">
        <f>'SALES &amp; RATE'!B79</f>
        <v>K.F STROM</v>
      </c>
      <c r="C79" s="112">
        <v>0</v>
      </c>
      <c r="D79" s="142">
        <v>0</v>
      </c>
      <c r="E79" s="142">
        <v>0</v>
      </c>
      <c r="F79" s="116">
        <v>0</v>
      </c>
      <c r="G79" s="147"/>
    </row>
    <row r="80" spans="1:7" ht="22.95" customHeight="1" x14ac:dyDescent="0.3">
      <c r="A80" s="3">
        <v>6</v>
      </c>
      <c r="B80" s="89" t="str">
        <f>'SALES &amp; RATE'!B80</f>
        <v>BUDWISER MAGNUM</v>
      </c>
      <c r="C80" s="112">
        <v>20</v>
      </c>
      <c r="D80" s="142">
        <v>0</v>
      </c>
      <c r="E80" s="142">
        <v>0</v>
      </c>
      <c r="F80" s="116">
        <v>0</v>
      </c>
      <c r="G80" s="147"/>
    </row>
    <row r="81" spans="1:7" ht="22.95" customHeight="1" x14ac:dyDescent="0.3">
      <c r="A81" s="3">
        <v>7</v>
      </c>
      <c r="B81" s="89" t="str">
        <f>'SALES &amp; RATE'!B81</f>
        <v>BUDWISER PREM</v>
      </c>
      <c r="C81" s="112">
        <v>3</v>
      </c>
      <c r="D81" s="142">
        <v>0</v>
      </c>
      <c r="E81" s="142">
        <v>0</v>
      </c>
      <c r="F81" s="116">
        <v>0</v>
      </c>
      <c r="G81" s="146"/>
    </row>
    <row r="82" spans="1:7" ht="22.95" customHeight="1" x14ac:dyDescent="0.3">
      <c r="A82" s="3">
        <v>8</v>
      </c>
      <c r="B82" s="89" t="str">
        <f>'SALES &amp; RATE'!B82</f>
        <v>K.F ULTRA/ WITT BEER</v>
      </c>
      <c r="C82" s="112">
        <v>0</v>
      </c>
      <c r="D82" s="142">
        <v>0</v>
      </c>
      <c r="E82" s="142">
        <v>0</v>
      </c>
      <c r="F82" s="116">
        <v>0</v>
      </c>
      <c r="G82" s="147"/>
    </row>
    <row r="83" spans="1:7" ht="22.95" customHeight="1" x14ac:dyDescent="0.3">
      <c r="A83" s="3">
        <v>9</v>
      </c>
      <c r="B83" s="89" t="str">
        <f>'SALES &amp; RATE'!B83</f>
        <v>TOBURG STRONG BEER</v>
      </c>
      <c r="C83" s="112">
        <v>0</v>
      </c>
      <c r="D83" s="142">
        <v>0</v>
      </c>
      <c r="E83" s="142">
        <v>3</v>
      </c>
      <c r="F83" s="116">
        <v>0</v>
      </c>
      <c r="G83" s="147"/>
    </row>
    <row r="84" spans="1:7" ht="22.95" customHeight="1" x14ac:dyDescent="0.3">
      <c r="A84" s="3">
        <v>10</v>
      </c>
      <c r="B84" s="89" t="str">
        <f>'SALES &amp; RATE'!B84</f>
        <v xml:space="preserve">POWERCOOL </v>
      </c>
      <c r="C84" s="112">
        <v>4</v>
      </c>
      <c r="D84" s="142">
        <v>0</v>
      </c>
      <c r="E84" s="142">
        <v>0</v>
      </c>
      <c r="F84" s="116">
        <v>0</v>
      </c>
      <c r="G84" s="146"/>
    </row>
    <row r="85" spans="1:7" ht="22.95" customHeight="1" x14ac:dyDescent="0.3">
      <c r="A85" s="3">
        <v>11</v>
      </c>
      <c r="B85" s="89" t="str">
        <f>'SALES &amp; RATE'!B85</f>
        <v>BACARDI +</v>
      </c>
      <c r="C85" s="112">
        <v>0</v>
      </c>
      <c r="D85" s="142">
        <v>0</v>
      </c>
      <c r="E85" s="142">
        <v>0</v>
      </c>
      <c r="F85" s="116">
        <v>0</v>
      </c>
      <c r="G85" s="147"/>
    </row>
    <row r="86" spans="1:7" ht="22.95" customHeight="1" x14ac:dyDescent="0.3">
      <c r="A86" s="3">
        <v>12</v>
      </c>
      <c r="B86" s="89" t="str">
        <f>'SALES &amp; RATE'!B86</f>
        <v>BACARDI BREEZER</v>
      </c>
      <c r="C86" s="112">
        <v>0</v>
      </c>
      <c r="D86" s="142">
        <v>0</v>
      </c>
      <c r="E86" s="142">
        <v>0</v>
      </c>
      <c r="F86" s="116">
        <v>0</v>
      </c>
      <c r="G86" s="147"/>
    </row>
    <row r="87" spans="1:7" ht="22.95" customHeight="1" x14ac:dyDescent="0.3">
      <c r="A87" s="3">
        <v>13</v>
      </c>
      <c r="B87" s="89" t="str">
        <f>'SALES &amp; RATE'!B87</f>
        <v>RC / BULLET BEER</v>
      </c>
      <c r="C87" s="112">
        <v>4</v>
      </c>
      <c r="D87" s="142">
        <v>0</v>
      </c>
      <c r="E87" s="142">
        <v>0</v>
      </c>
      <c r="F87" s="116">
        <v>0</v>
      </c>
      <c r="G87" s="146"/>
    </row>
    <row r="88" spans="1:7" ht="22.95" customHeight="1" x14ac:dyDescent="0.3">
      <c r="A88" s="3">
        <v>14</v>
      </c>
      <c r="B88" s="89" t="str">
        <f>'SALES &amp; RATE'!B88</f>
        <v>HUNTER</v>
      </c>
      <c r="C88" s="112">
        <v>0</v>
      </c>
      <c r="D88" s="142">
        <v>0</v>
      </c>
      <c r="E88" s="142">
        <v>0</v>
      </c>
      <c r="F88" s="116">
        <v>0</v>
      </c>
      <c r="G88" s="147"/>
    </row>
    <row r="89" spans="1:7" ht="22.95" customHeight="1" x14ac:dyDescent="0.3">
      <c r="A89" s="3">
        <v>15</v>
      </c>
      <c r="B89" s="89" t="str">
        <f>'SALES &amp; RATE'!B89</f>
        <v>CARLSBERG ELE STRONG</v>
      </c>
      <c r="C89" s="112">
        <v>10</v>
      </c>
      <c r="D89" s="142">
        <v>1</v>
      </c>
      <c r="E89" s="142">
        <v>0</v>
      </c>
      <c r="F89" s="116">
        <v>0</v>
      </c>
      <c r="G89" s="147"/>
    </row>
    <row r="90" spans="1:7" ht="22.95" customHeight="1" x14ac:dyDescent="0.3">
      <c r="A90" s="3">
        <v>16</v>
      </c>
      <c r="B90" s="89" t="str">
        <f>'SALES &amp; RATE'!B90</f>
        <v>SUNNY STRONG</v>
      </c>
      <c r="C90" s="112">
        <v>5</v>
      </c>
      <c r="D90" s="142">
        <v>0</v>
      </c>
      <c r="E90" s="142">
        <v>0</v>
      </c>
      <c r="F90" s="116">
        <v>0</v>
      </c>
      <c r="G90" s="146"/>
    </row>
    <row r="91" spans="1:7" ht="22.95" customHeight="1" x14ac:dyDescent="0.3">
      <c r="A91" s="3">
        <v>17</v>
      </c>
      <c r="B91" s="89" t="str">
        <f>'SALES &amp; RATE'!B91</f>
        <v>FOSTERS BEER</v>
      </c>
      <c r="C91" s="112">
        <v>0</v>
      </c>
      <c r="D91" s="142">
        <v>0</v>
      </c>
      <c r="E91" s="142">
        <v>0</v>
      </c>
      <c r="F91" s="116">
        <v>0</v>
      </c>
      <c r="G91" s="147"/>
    </row>
    <row r="92" spans="1:7" ht="22.95" customHeight="1" x14ac:dyDescent="0.3">
      <c r="A92" s="3">
        <v>18</v>
      </c>
      <c r="B92" s="89" t="str">
        <f>'SALES &amp; RATE'!B92</f>
        <v>HEINEKEN BEER</v>
      </c>
      <c r="C92" s="112">
        <v>0</v>
      </c>
      <c r="D92" s="142">
        <v>0</v>
      </c>
      <c r="E92" s="142">
        <v>0</v>
      </c>
      <c r="F92" s="116">
        <v>0</v>
      </c>
      <c r="G92" s="147"/>
    </row>
    <row r="93" spans="1:7" ht="22.95" customHeight="1" x14ac:dyDescent="0.3">
      <c r="A93" s="3">
        <v>19</v>
      </c>
      <c r="B93" s="89" t="str">
        <f>'SALES &amp; RATE'!B93</f>
        <v>TUBORG CLASSIC</v>
      </c>
      <c r="C93" s="112">
        <v>0</v>
      </c>
      <c r="D93" s="142">
        <v>0</v>
      </c>
      <c r="E93" s="142">
        <v>0</v>
      </c>
      <c r="F93" s="116">
        <v>0</v>
      </c>
      <c r="G93" s="146"/>
    </row>
    <row r="94" spans="1:7" ht="22.95" customHeight="1" thickBot="1" x14ac:dyDescent="0.35">
      <c r="A94" s="41">
        <v>20</v>
      </c>
      <c r="B94" s="89">
        <f>'SALES &amp; RATE'!B94</f>
        <v>0</v>
      </c>
      <c r="C94" s="114">
        <v>0</v>
      </c>
      <c r="D94" s="144">
        <v>0</v>
      </c>
      <c r="E94" s="144">
        <v>0</v>
      </c>
      <c r="F94" s="120">
        <v>0</v>
      </c>
      <c r="G94" s="148"/>
    </row>
    <row r="95" spans="1:7" ht="22.95" customHeight="1" thickBot="1" x14ac:dyDescent="0.35">
      <c r="A95" s="299" t="s">
        <v>17</v>
      </c>
      <c r="B95" s="300"/>
      <c r="C95" s="295" t="s">
        <v>103</v>
      </c>
      <c r="D95" s="296"/>
      <c r="E95" s="296"/>
      <c r="F95" s="296"/>
      <c r="G95" s="297"/>
    </row>
    <row r="96" spans="1:7" ht="22.95" customHeight="1" thickBot="1" x14ac:dyDescent="0.35">
      <c r="A96" s="305"/>
      <c r="B96" s="306"/>
      <c r="C96" s="18" t="s">
        <v>18</v>
      </c>
      <c r="D96" s="70" t="s">
        <v>19</v>
      </c>
      <c r="E96" s="70" t="s">
        <v>88</v>
      </c>
      <c r="F96" s="17" t="s">
        <v>89</v>
      </c>
      <c r="G96" s="303"/>
    </row>
    <row r="97" spans="1:7" ht="22.95" customHeight="1" x14ac:dyDescent="0.3">
      <c r="A97" s="18" t="s">
        <v>9</v>
      </c>
      <c r="B97" s="86" t="s">
        <v>13</v>
      </c>
      <c r="C97" s="5" t="s">
        <v>71</v>
      </c>
      <c r="D97" s="69" t="s">
        <v>2</v>
      </c>
      <c r="E97" s="69" t="s">
        <v>10</v>
      </c>
      <c r="F97" s="6" t="s">
        <v>70</v>
      </c>
      <c r="G97" s="304"/>
    </row>
    <row r="98" spans="1:7" ht="22.95" customHeight="1" x14ac:dyDescent="0.3">
      <c r="A98" s="3">
        <v>1</v>
      </c>
      <c r="B98" s="89" t="str">
        <f>'SALES &amp; RATE'!B98</f>
        <v>COOL DRINKS</v>
      </c>
      <c r="C98" s="112">
        <v>0</v>
      </c>
      <c r="D98" s="142">
        <v>0</v>
      </c>
      <c r="E98" s="142">
        <v>1</v>
      </c>
      <c r="F98" s="116">
        <v>10</v>
      </c>
      <c r="G98" s="147"/>
    </row>
    <row r="99" spans="1:7" ht="22.95" customHeight="1" x14ac:dyDescent="0.3">
      <c r="A99" s="3">
        <v>2</v>
      </c>
      <c r="B99" s="89" t="str">
        <f>'SALES &amp; RATE'!B99</f>
        <v>SODA*12/REDBULL*24</v>
      </c>
      <c r="C99" s="112">
        <v>0</v>
      </c>
      <c r="D99" s="142">
        <v>0</v>
      </c>
      <c r="E99" s="142">
        <v>10</v>
      </c>
      <c r="F99" s="116">
        <v>1</v>
      </c>
      <c r="G99" s="147"/>
    </row>
    <row r="100" spans="1:7" ht="22.95" customHeight="1" thickBot="1" x14ac:dyDescent="0.35">
      <c r="A100" s="41">
        <v>3</v>
      </c>
      <c r="B100" s="90" t="str">
        <f>'SALES &amp; RATE'!B100</f>
        <v>MIN WATER</v>
      </c>
      <c r="C100" s="114">
        <v>5</v>
      </c>
      <c r="D100" s="144">
        <v>60</v>
      </c>
      <c r="E100" s="144">
        <v>25</v>
      </c>
      <c r="F100" s="120">
        <v>0</v>
      </c>
      <c r="G100" s="148"/>
    </row>
  </sheetData>
  <sheetProtection selectLockedCells="1"/>
  <mergeCells count="10">
    <mergeCell ref="A51:B52"/>
    <mergeCell ref="C51:G51"/>
    <mergeCell ref="A1:B2"/>
    <mergeCell ref="C1:G1"/>
    <mergeCell ref="C95:G95"/>
    <mergeCell ref="C72:G72"/>
    <mergeCell ref="A72:B73"/>
    <mergeCell ref="G73:G74"/>
    <mergeCell ref="A95:B96"/>
    <mergeCell ref="G96:G97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L100"/>
  <sheetViews>
    <sheetView zoomScaleNormal="100" zoomScalePageLayoutView="125" workbookViewId="0">
      <pane xSplit="2" ySplit="3" topLeftCell="C4" activePane="bottomRight" state="frozenSplit"/>
      <selection pane="topRight" activeCell="J1" sqref="J1"/>
      <selection pane="bottomLeft" activeCell="A11" sqref="A11"/>
      <selection pane="bottomRight" activeCell="C51" sqref="C51:L51"/>
    </sheetView>
  </sheetViews>
  <sheetFormatPr defaultColWidth="10.69921875" defaultRowHeight="15.6" x14ac:dyDescent="0.3"/>
  <cols>
    <col min="1" max="1" width="4.69921875" customWidth="1"/>
    <col min="2" max="2" width="21.5" customWidth="1"/>
    <col min="3" max="3" width="8.5" customWidth="1"/>
    <col min="4" max="4" width="15.19921875" customWidth="1"/>
    <col min="5" max="5" width="8.5" customWidth="1"/>
    <col min="6" max="6" width="15.19921875" customWidth="1"/>
    <col min="7" max="7" width="8.5" customWidth="1"/>
    <col min="8" max="8" width="15.19921875" customWidth="1"/>
    <col min="9" max="9" width="8.5" customWidth="1"/>
    <col min="10" max="10" width="15.19921875" customWidth="1"/>
    <col min="11" max="11" width="8.5" customWidth="1"/>
    <col min="12" max="12" width="15.19921875" customWidth="1"/>
  </cols>
  <sheetData>
    <row r="1" spans="1:12" ht="28.2" customHeight="1" thickBot="1" x14ac:dyDescent="0.35">
      <c r="A1" s="327" t="s">
        <v>0</v>
      </c>
      <c r="B1" s="328"/>
      <c r="C1" s="331" t="s">
        <v>79</v>
      </c>
      <c r="D1" s="332"/>
      <c r="E1" s="332"/>
      <c r="F1" s="332"/>
      <c r="G1" s="332"/>
      <c r="H1" s="332"/>
      <c r="I1" s="332"/>
      <c r="J1" s="332"/>
      <c r="K1" s="332"/>
      <c r="L1" s="333"/>
    </row>
    <row r="2" spans="1:12" ht="22.95" customHeight="1" x14ac:dyDescent="0.3">
      <c r="A2" s="329"/>
      <c r="B2" s="330"/>
      <c r="C2" s="249" t="s">
        <v>4</v>
      </c>
      <c r="D2" s="251"/>
      <c r="E2" s="269" t="s">
        <v>5</v>
      </c>
      <c r="F2" s="250"/>
      <c r="G2" s="249" t="s">
        <v>6</v>
      </c>
      <c r="H2" s="251"/>
      <c r="I2" s="270" t="s">
        <v>7</v>
      </c>
      <c r="J2" s="271"/>
      <c r="K2" s="254" t="s">
        <v>8</v>
      </c>
      <c r="L2" s="255"/>
    </row>
    <row r="3" spans="1:12" ht="22.95" customHeight="1" x14ac:dyDescent="0.3">
      <c r="A3" s="34" t="s">
        <v>9</v>
      </c>
      <c r="B3" s="35" t="s">
        <v>13</v>
      </c>
      <c r="C3" s="9" t="s">
        <v>2</v>
      </c>
      <c r="D3" s="10" t="s">
        <v>3</v>
      </c>
      <c r="E3" s="11" t="s">
        <v>10</v>
      </c>
      <c r="F3" s="12" t="s">
        <v>3</v>
      </c>
      <c r="G3" s="9" t="s">
        <v>11</v>
      </c>
      <c r="H3" s="10" t="s">
        <v>3</v>
      </c>
      <c r="I3" s="13" t="s">
        <v>12</v>
      </c>
      <c r="J3" s="14" t="s">
        <v>3</v>
      </c>
      <c r="K3" s="15" t="s">
        <v>77</v>
      </c>
      <c r="L3" s="16" t="s">
        <v>3</v>
      </c>
    </row>
    <row r="4" spans="1:12" ht="22.95" customHeight="1" x14ac:dyDescent="0.3">
      <c r="A4" s="3">
        <v>1</v>
      </c>
      <c r="B4" s="40" t="str">
        <f>'SALES &amp; RATE'!B4</f>
        <v>M H BRANDY</v>
      </c>
      <c r="C4" s="123">
        <f>'OPENING STOCK'!C4+RECIEPTS!C4</f>
        <v>0</v>
      </c>
      <c r="D4" s="124">
        <f>'OPENING STOCK'!D4</f>
        <v>10</v>
      </c>
      <c r="E4" s="125">
        <f>'OPENING STOCK'!E4+RECIEPTS!D4</f>
        <v>1</v>
      </c>
      <c r="F4" s="126">
        <f>'OPENING STOCK'!F4</f>
        <v>11</v>
      </c>
      <c r="G4" s="123">
        <f>'OPENING STOCK'!G4+RECIEPTS!E4</f>
        <v>10</v>
      </c>
      <c r="H4" s="124">
        <f>'OPENING STOCK'!H4</f>
        <v>41</v>
      </c>
      <c r="I4" s="125">
        <f>'OPENING STOCK'!I4+RECIEPTS!F4</f>
        <v>7</v>
      </c>
      <c r="J4" s="126">
        <f>'OPENING STOCK'!J4</f>
        <v>70</v>
      </c>
      <c r="K4" s="123">
        <f>'OPENING STOCK'!K4+RECIEPTS!G4</f>
        <v>0</v>
      </c>
      <c r="L4" s="124">
        <f>'OPENING STOCK'!L4</f>
        <v>0</v>
      </c>
    </row>
    <row r="5" spans="1:12" ht="22.95" customHeight="1" x14ac:dyDescent="0.3">
      <c r="A5" s="3">
        <v>2</v>
      </c>
      <c r="B5" s="40" t="str">
        <f>'SALES &amp; RATE'!B5</f>
        <v>MC BRANDY</v>
      </c>
      <c r="C5" s="123">
        <f>'OPENING STOCK'!C5+RECIEPTS!C5</f>
        <v>0</v>
      </c>
      <c r="D5" s="124">
        <f>'OPENING STOCK'!D5</f>
        <v>14</v>
      </c>
      <c r="E5" s="125">
        <f>'OPENING STOCK'!E5+RECIEPTS!D5</f>
        <v>1</v>
      </c>
      <c r="F5" s="126">
        <f>'OPENING STOCK'!F5</f>
        <v>11</v>
      </c>
      <c r="G5" s="123">
        <f>'OPENING STOCK'!G5+RECIEPTS!E5</f>
        <v>12</v>
      </c>
      <c r="H5" s="124">
        <f>'OPENING STOCK'!H5</f>
        <v>97</v>
      </c>
      <c r="I5" s="125">
        <f>'OPENING STOCK'!I5+RECIEPTS!F5</f>
        <v>7</v>
      </c>
      <c r="J5" s="126">
        <f>'OPENING STOCK'!J5</f>
        <v>72</v>
      </c>
      <c r="K5" s="123">
        <f>'OPENING STOCK'!K5+RECIEPTS!G5</f>
        <v>0</v>
      </c>
      <c r="L5" s="124">
        <f>'OPENING STOCK'!L5</f>
        <v>0</v>
      </c>
    </row>
    <row r="6" spans="1:12" ht="22.95" customHeight="1" x14ac:dyDescent="0.3">
      <c r="A6" s="3">
        <v>3</v>
      </c>
      <c r="B6" s="40" t="str">
        <f>'SALES &amp; RATE'!B6</f>
        <v>O.C.BRANDY</v>
      </c>
      <c r="C6" s="123">
        <f>'OPENING STOCK'!C6+RECIEPTS!C6</f>
        <v>0</v>
      </c>
      <c r="D6" s="124">
        <f>'OPENING STOCK'!D6</f>
        <v>0</v>
      </c>
      <c r="E6" s="125">
        <f>'OPENING STOCK'!E6+RECIEPTS!D6</f>
        <v>0</v>
      </c>
      <c r="F6" s="126">
        <f>'OPENING STOCK'!F6</f>
        <v>0</v>
      </c>
      <c r="G6" s="123">
        <f>'OPENING STOCK'!G6+RECIEPTS!E6</f>
        <v>6</v>
      </c>
      <c r="H6" s="124">
        <f>'OPENING STOCK'!H6</f>
        <v>89</v>
      </c>
      <c r="I6" s="125">
        <f>'OPENING STOCK'!I6+RECIEPTS!F6</f>
        <v>5</v>
      </c>
      <c r="J6" s="126">
        <f>'OPENING STOCK'!J6</f>
        <v>42</v>
      </c>
      <c r="K6" s="123">
        <f>'OPENING STOCK'!K6+RECIEPTS!G6</f>
        <v>0</v>
      </c>
      <c r="L6" s="124">
        <f>'OPENING STOCK'!L6</f>
        <v>0</v>
      </c>
    </row>
    <row r="7" spans="1:12" ht="22.95" customHeight="1" x14ac:dyDescent="0.3">
      <c r="A7" s="3">
        <v>4</v>
      </c>
      <c r="B7" s="40" t="str">
        <f>'SALES &amp; RATE'!B7</f>
        <v>AMRUT SILVER CUP</v>
      </c>
      <c r="C7" s="123">
        <f>'OPENING STOCK'!C7+RECIEPTS!C7</f>
        <v>0</v>
      </c>
      <c r="D7" s="124">
        <f>'OPENING STOCK'!D7</f>
        <v>0</v>
      </c>
      <c r="E7" s="125">
        <f>'OPENING STOCK'!E7+RECIEPTS!D7</f>
        <v>0</v>
      </c>
      <c r="F7" s="126">
        <f>'OPENING STOCK'!F7</f>
        <v>0</v>
      </c>
      <c r="G7" s="123">
        <f>'OPENING STOCK'!G7+RECIEPTS!E7</f>
        <v>8</v>
      </c>
      <c r="H7" s="124">
        <f>'OPENING STOCK'!H7</f>
        <v>46</v>
      </c>
      <c r="I7" s="125">
        <f>'OPENING STOCK'!I7+RECIEPTS!F7</f>
        <v>6</v>
      </c>
      <c r="J7" s="126">
        <f>'OPENING STOCK'!J7</f>
        <v>2</v>
      </c>
      <c r="K7" s="123">
        <f>'OPENING STOCK'!K7+RECIEPTS!G7</f>
        <v>0</v>
      </c>
      <c r="L7" s="124">
        <f>'OPENING STOCK'!L7</f>
        <v>0</v>
      </c>
    </row>
    <row r="8" spans="1:12" ht="22.95" customHeight="1" x14ac:dyDescent="0.3">
      <c r="A8" s="3">
        <v>5</v>
      </c>
      <c r="B8" s="40" t="str">
        <f>'SALES &amp; RATE'!B8</f>
        <v>HONEY BEE BRANDY</v>
      </c>
      <c r="C8" s="123">
        <f>'OPENING STOCK'!C8+RECIEPTS!C8</f>
        <v>0</v>
      </c>
      <c r="D8" s="124">
        <f>'OPENING STOCK'!D8</f>
        <v>0</v>
      </c>
      <c r="E8" s="125">
        <f>'OPENING STOCK'!E8+RECIEPTS!D8</f>
        <v>0</v>
      </c>
      <c r="F8" s="126">
        <f>'OPENING STOCK'!F8</f>
        <v>0</v>
      </c>
      <c r="G8" s="123">
        <f>'OPENING STOCK'!G8+RECIEPTS!E8</f>
        <v>0</v>
      </c>
      <c r="H8" s="124">
        <f>'OPENING STOCK'!H8</f>
        <v>26</v>
      </c>
      <c r="I8" s="125">
        <f>'OPENING STOCK'!I8+RECIEPTS!F8</f>
        <v>0</v>
      </c>
      <c r="J8" s="126">
        <f>'OPENING STOCK'!J8</f>
        <v>54</v>
      </c>
      <c r="K8" s="123">
        <f>'OPENING STOCK'!K8+RECIEPTS!G8</f>
        <v>0</v>
      </c>
      <c r="L8" s="124">
        <f>'OPENING STOCK'!L8</f>
        <v>0</v>
      </c>
    </row>
    <row r="9" spans="1:12" ht="22.95" customHeight="1" x14ac:dyDescent="0.3">
      <c r="A9" s="3">
        <v>6</v>
      </c>
      <c r="B9" s="40" t="str">
        <f>'SALES &amp; RATE'!B9</f>
        <v>O A BRANDY</v>
      </c>
      <c r="C9" s="123">
        <f>'OPENING STOCK'!C9+RECIEPTS!C9</f>
        <v>0</v>
      </c>
      <c r="D9" s="124">
        <f>'OPENING STOCK'!D9</f>
        <v>3</v>
      </c>
      <c r="E9" s="125">
        <f>'OPENING STOCK'!E9+RECIEPTS!D9</f>
        <v>0</v>
      </c>
      <c r="F9" s="126">
        <f>'OPENING STOCK'!F9</f>
        <v>0</v>
      </c>
      <c r="G9" s="123">
        <f>'OPENING STOCK'!G9+RECIEPTS!E9</f>
        <v>3</v>
      </c>
      <c r="H9" s="124">
        <f>'OPENING STOCK'!H9</f>
        <v>92</v>
      </c>
      <c r="I9" s="125">
        <f>'OPENING STOCK'!I9+RECIEPTS!F9</f>
        <v>4</v>
      </c>
      <c r="J9" s="126">
        <f>'OPENING STOCK'!J9</f>
        <v>61</v>
      </c>
      <c r="K9" s="123">
        <f>'OPENING STOCK'!K9+RECIEPTS!G9</f>
        <v>0</v>
      </c>
      <c r="L9" s="124">
        <f>'OPENING STOCK'!L9</f>
        <v>0</v>
      </c>
    </row>
    <row r="10" spans="1:12" ht="22.95" customHeight="1" x14ac:dyDescent="0.3">
      <c r="A10" s="3">
        <v>7</v>
      </c>
      <c r="B10" s="40" t="str">
        <f>'SALES &amp; RATE'!B10</f>
        <v>BEJOIS BRANDY</v>
      </c>
      <c r="C10" s="123">
        <f>'OPENING STOCK'!C10+RECIEPTS!C10</f>
        <v>0</v>
      </c>
      <c r="D10" s="124">
        <f>'OPENING STOCK'!D10</f>
        <v>6</v>
      </c>
      <c r="E10" s="125">
        <f>'OPENING STOCK'!E10+RECIEPTS!D10</f>
        <v>0</v>
      </c>
      <c r="F10" s="126">
        <f>'OPENING STOCK'!F10</f>
        <v>0</v>
      </c>
      <c r="G10" s="123">
        <f>'OPENING STOCK'!G10+RECIEPTS!E10</f>
        <v>8</v>
      </c>
      <c r="H10" s="124">
        <f>'OPENING STOCK'!H10</f>
        <v>59</v>
      </c>
      <c r="I10" s="125">
        <f>'OPENING STOCK'!I10+RECIEPTS!F10</f>
        <v>7</v>
      </c>
      <c r="J10" s="126">
        <f>'OPENING STOCK'!J10</f>
        <v>19</v>
      </c>
      <c r="K10" s="123">
        <f>'OPENING STOCK'!K10+RECIEPTS!G10</f>
        <v>0</v>
      </c>
      <c r="L10" s="124">
        <f>'OPENING STOCK'!L10</f>
        <v>0</v>
      </c>
    </row>
    <row r="11" spans="1:12" ht="22.95" customHeight="1" x14ac:dyDescent="0.3">
      <c r="A11" s="3">
        <v>8</v>
      </c>
      <c r="B11" s="40" t="str">
        <f>'SALES &amp; RATE'!B11</f>
        <v>MORPHIS BRANDY</v>
      </c>
      <c r="C11" s="123">
        <f>'OPENING STOCK'!C11+RECIEPTS!C11</f>
        <v>0</v>
      </c>
      <c r="D11" s="124">
        <f>'OPENING STOCK'!D11</f>
        <v>0</v>
      </c>
      <c r="E11" s="125">
        <f>'OPENING STOCK'!E11+RECIEPTS!D11</f>
        <v>0</v>
      </c>
      <c r="F11" s="126">
        <f>'OPENING STOCK'!F11</f>
        <v>0</v>
      </c>
      <c r="G11" s="123">
        <f>'OPENING STOCK'!G11+RECIEPTS!E11</f>
        <v>0</v>
      </c>
      <c r="H11" s="124">
        <f>'OPENING STOCK'!H11</f>
        <v>35</v>
      </c>
      <c r="I11" s="125">
        <f>'OPENING STOCK'!I11+RECIEPTS!F11</f>
        <v>0</v>
      </c>
      <c r="J11" s="126">
        <f>'OPENING STOCK'!J11</f>
        <v>0</v>
      </c>
      <c r="K11" s="123">
        <f>'OPENING STOCK'!K11+RECIEPTS!G11</f>
        <v>0</v>
      </c>
      <c r="L11" s="124">
        <f>'OPENING STOCK'!L11</f>
        <v>33</v>
      </c>
    </row>
    <row r="12" spans="1:12" ht="22.95" customHeight="1" x14ac:dyDescent="0.3">
      <c r="A12" s="3">
        <v>9</v>
      </c>
      <c r="B12" s="40" t="str">
        <f>'SALES &amp; RATE'!B12</f>
        <v>M C WHISKY</v>
      </c>
      <c r="C12" s="123">
        <f>'OPENING STOCK'!C12+RECIEPTS!C12</f>
        <v>0</v>
      </c>
      <c r="D12" s="124">
        <f>'OPENING STOCK'!D12</f>
        <v>10</v>
      </c>
      <c r="E12" s="125">
        <f>'OPENING STOCK'!E12+RECIEPTS!D12</f>
        <v>0</v>
      </c>
      <c r="F12" s="126">
        <f>'OPENING STOCK'!F12</f>
        <v>15</v>
      </c>
      <c r="G12" s="123">
        <f>'OPENING STOCK'!G12+RECIEPTS!E12</f>
        <v>2</v>
      </c>
      <c r="H12" s="124">
        <f>'OPENING STOCK'!H12</f>
        <v>52</v>
      </c>
      <c r="I12" s="125">
        <f>'OPENING STOCK'!I12+RECIEPTS!F12</f>
        <v>1</v>
      </c>
      <c r="J12" s="126">
        <f>'OPENING STOCK'!J12</f>
        <v>95</v>
      </c>
      <c r="K12" s="123">
        <f>'OPENING STOCK'!K12+RECIEPTS!G12</f>
        <v>0</v>
      </c>
      <c r="L12" s="124">
        <f>'OPENING STOCK'!L12</f>
        <v>0</v>
      </c>
    </row>
    <row r="13" spans="1:12" ht="22.95" customHeight="1" x14ac:dyDescent="0.3">
      <c r="A13" s="3">
        <v>10</v>
      </c>
      <c r="B13" s="40" t="str">
        <f>'SALES &amp; RATE'!B13</f>
        <v>BAGPIPER (W)</v>
      </c>
      <c r="C13" s="123">
        <f>'OPENING STOCK'!C13+RECIEPTS!C13</f>
        <v>0</v>
      </c>
      <c r="D13" s="124">
        <f>'OPENING STOCK'!D13</f>
        <v>11</v>
      </c>
      <c r="E13" s="125">
        <f>'OPENING STOCK'!E13+RECIEPTS!D13</f>
        <v>0</v>
      </c>
      <c r="F13" s="126">
        <f>'OPENING STOCK'!F13</f>
        <v>9</v>
      </c>
      <c r="G13" s="123">
        <f>'OPENING STOCK'!G13+RECIEPTS!E13</f>
        <v>16</v>
      </c>
      <c r="H13" s="124">
        <f>'OPENING STOCK'!H13</f>
        <v>51</v>
      </c>
      <c r="I13" s="125">
        <f>'OPENING STOCK'!I13+RECIEPTS!F13</f>
        <v>6</v>
      </c>
      <c r="J13" s="126">
        <f>'OPENING STOCK'!J13</f>
        <v>49</v>
      </c>
      <c r="K13" s="123">
        <f>'OPENING STOCK'!K13+RECIEPTS!G13</f>
        <v>0</v>
      </c>
      <c r="L13" s="124">
        <f>'OPENING STOCK'!L13</f>
        <v>0</v>
      </c>
    </row>
    <row r="14" spans="1:12" ht="22.95" customHeight="1" x14ac:dyDescent="0.3">
      <c r="A14" s="3">
        <v>11</v>
      </c>
      <c r="B14" s="40" t="str">
        <f>'SALES &amp; RATE'!B14</f>
        <v>SIGNATURE (W)</v>
      </c>
      <c r="C14" s="123">
        <f>'OPENING STOCK'!C14+RECIEPTS!C14</f>
        <v>0</v>
      </c>
      <c r="D14" s="124">
        <f>'OPENING STOCK'!D14</f>
        <v>0</v>
      </c>
      <c r="E14" s="125">
        <f>'OPENING STOCK'!E14+RECIEPTS!D14</f>
        <v>0</v>
      </c>
      <c r="F14" s="126">
        <f>'OPENING STOCK'!F14</f>
        <v>0</v>
      </c>
      <c r="G14" s="123">
        <f>'OPENING STOCK'!G14+RECIEPTS!E14</f>
        <v>0</v>
      </c>
      <c r="H14" s="124">
        <f>'OPENING STOCK'!H14</f>
        <v>31</v>
      </c>
      <c r="I14" s="125">
        <f>'OPENING STOCK'!I14+RECIEPTS!F14</f>
        <v>0</v>
      </c>
      <c r="J14" s="126">
        <f>'OPENING STOCK'!J14</f>
        <v>0</v>
      </c>
      <c r="K14" s="123">
        <f>'OPENING STOCK'!K14+RECIEPTS!G14</f>
        <v>0</v>
      </c>
      <c r="L14" s="124">
        <f>'OPENING STOCK'!L14</f>
        <v>0</v>
      </c>
    </row>
    <row r="15" spans="1:12" ht="22.95" customHeight="1" x14ac:dyDescent="0.3">
      <c r="A15" s="3">
        <v>12</v>
      </c>
      <c r="B15" s="40" t="str">
        <f>'SALES &amp; RATE'!B15</f>
        <v>O T WHISKY</v>
      </c>
      <c r="C15" s="123">
        <f>'OPENING STOCK'!C15+RECIEPTS!C15</f>
        <v>0</v>
      </c>
      <c r="D15" s="124">
        <f>'OPENING STOCK'!D15</f>
        <v>0</v>
      </c>
      <c r="E15" s="125">
        <f>'OPENING STOCK'!E15+RECIEPTS!D15</f>
        <v>0</v>
      </c>
      <c r="F15" s="126">
        <f>'OPENING STOCK'!F15</f>
        <v>0</v>
      </c>
      <c r="G15" s="123">
        <f>'OPENING STOCK'!G15+RECIEPTS!E15</f>
        <v>2</v>
      </c>
      <c r="H15" s="124">
        <f>'OPENING STOCK'!H15</f>
        <v>23</v>
      </c>
      <c r="I15" s="125">
        <f>'OPENING STOCK'!I15+RECIEPTS!F15</f>
        <v>0</v>
      </c>
      <c r="J15" s="126">
        <f>'OPENING STOCK'!J15</f>
        <v>99</v>
      </c>
      <c r="K15" s="123">
        <f>'OPENING STOCK'!K15+RECIEPTS!G15</f>
        <v>0</v>
      </c>
      <c r="L15" s="124">
        <f>'OPENING STOCK'!L15</f>
        <v>0</v>
      </c>
    </row>
    <row r="16" spans="1:12" ht="22.95" customHeight="1" x14ac:dyDescent="0.3">
      <c r="A16" s="3">
        <v>13</v>
      </c>
      <c r="B16" s="40" t="str">
        <f>'SALES &amp; RATE'!B16</f>
        <v>DSP BLACK(W)</v>
      </c>
      <c r="C16" s="123">
        <f>'OPENING STOCK'!C16+RECIEPTS!C16</f>
        <v>0</v>
      </c>
      <c r="D16" s="124">
        <f>'OPENING STOCK'!D16</f>
        <v>8</v>
      </c>
      <c r="E16" s="125">
        <f>'OPENING STOCK'!E16+RECIEPTS!D16</f>
        <v>0</v>
      </c>
      <c r="F16" s="126">
        <f>'OPENING STOCK'!F16</f>
        <v>4</v>
      </c>
      <c r="G16" s="123">
        <f>'OPENING STOCK'!G16+RECIEPTS!E16</f>
        <v>7</v>
      </c>
      <c r="H16" s="124">
        <f>'OPENING STOCK'!H16</f>
        <v>54</v>
      </c>
      <c r="I16" s="125">
        <f>'OPENING STOCK'!I16+RECIEPTS!F16</f>
        <v>6</v>
      </c>
      <c r="J16" s="126">
        <f>'OPENING STOCK'!J16</f>
        <v>65</v>
      </c>
      <c r="K16" s="123">
        <f>'OPENING STOCK'!K16+RECIEPTS!G16</f>
        <v>0</v>
      </c>
      <c r="L16" s="124">
        <f>'OPENING STOCK'!L16</f>
        <v>0</v>
      </c>
    </row>
    <row r="17" spans="1:12" ht="22.95" customHeight="1" x14ac:dyDescent="0.3">
      <c r="A17" s="3">
        <v>14</v>
      </c>
      <c r="B17" s="40" t="str">
        <f>'SALES &amp; RATE'!B17</f>
        <v>O C WHISKY</v>
      </c>
      <c r="C17" s="123">
        <f>'OPENING STOCK'!C17+RECIEPTS!C17</f>
        <v>0</v>
      </c>
      <c r="D17" s="124">
        <f>'OPENING STOCK'!D17</f>
        <v>0</v>
      </c>
      <c r="E17" s="125">
        <f>'OPENING STOCK'!E17+RECIEPTS!D17</f>
        <v>0</v>
      </c>
      <c r="F17" s="126">
        <f>'OPENING STOCK'!F17</f>
        <v>0</v>
      </c>
      <c r="G17" s="123">
        <f>'OPENING STOCK'!G17+RECIEPTS!E17</f>
        <v>11</v>
      </c>
      <c r="H17" s="124">
        <f>'OPENING STOCK'!H17</f>
        <v>73</v>
      </c>
      <c r="I17" s="125">
        <f>'OPENING STOCK'!I17+RECIEPTS!F17</f>
        <v>5</v>
      </c>
      <c r="J17" s="126">
        <f>'OPENING STOCK'!J17</f>
        <v>85</v>
      </c>
      <c r="K17" s="123">
        <f>'OPENING STOCK'!K17+RECIEPTS!G17</f>
        <v>0</v>
      </c>
      <c r="L17" s="124">
        <f>'OPENING STOCK'!L17</f>
        <v>0</v>
      </c>
    </row>
    <row r="18" spans="1:12" ht="22.95" customHeight="1" x14ac:dyDescent="0.3">
      <c r="A18" s="3">
        <v>15</v>
      </c>
      <c r="B18" s="40" t="str">
        <f>'SALES &amp; RATE'!B18</f>
        <v>R C WHISKY</v>
      </c>
      <c r="C18" s="123">
        <f>'OPENING STOCK'!C18+RECIEPTS!C18</f>
        <v>0</v>
      </c>
      <c r="D18" s="124">
        <f>'OPENING STOCK'!D18</f>
        <v>0</v>
      </c>
      <c r="E18" s="125">
        <f>'OPENING STOCK'!E18+RECIEPTS!D18</f>
        <v>0</v>
      </c>
      <c r="F18" s="126">
        <f>'OPENING STOCK'!F18</f>
        <v>0</v>
      </c>
      <c r="G18" s="123">
        <f>'OPENING STOCK'!G18+RECIEPTS!E18</f>
        <v>0</v>
      </c>
      <c r="H18" s="124">
        <f>'OPENING STOCK'!H18</f>
        <v>0</v>
      </c>
      <c r="I18" s="125">
        <f>'OPENING STOCK'!I18+RECIEPTS!F18</f>
        <v>0</v>
      </c>
      <c r="J18" s="126">
        <f>'OPENING STOCK'!J18</f>
        <v>0</v>
      </c>
      <c r="K18" s="123">
        <f>'OPENING STOCK'!K18+RECIEPTS!G18</f>
        <v>0</v>
      </c>
      <c r="L18" s="124">
        <f>'OPENING STOCK'!L18</f>
        <v>0</v>
      </c>
    </row>
    <row r="19" spans="1:12" ht="22.95" customHeight="1" x14ac:dyDescent="0.3">
      <c r="A19" s="3">
        <v>16</v>
      </c>
      <c r="B19" s="40" t="str">
        <f>'SALES &amp; RATE'!B19</f>
        <v>BLENDERS PRIDE</v>
      </c>
      <c r="C19" s="123">
        <f>'OPENING STOCK'!C19+RECIEPTS!C19</f>
        <v>0</v>
      </c>
      <c r="D19" s="124">
        <f>'OPENING STOCK'!D19</f>
        <v>0</v>
      </c>
      <c r="E19" s="125">
        <f>'OPENING STOCK'!E19+RECIEPTS!D19</f>
        <v>0</v>
      </c>
      <c r="F19" s="126">
        <f>'OPENING STOCK'!F19</f>
        <v>0</v>
      </c>
      <c r="G19" s="123">
        <f>'OPENING STOCK'!G19+RECIEPTS!E19</f>
        <v>0</v>
      </c>
      <c r="H19" s="124">
        <f>'OPENING STOCK'!H19</f>
        <v>30</v>
      </c>
      <c r="I19" s="125">
        <f>'OPENING STOCK'!I19+RECIEPTS!F19</f>
        <v>0</v>
      </c>
      <c r="J19" s="126">
        <f>'OPENING STOCK'!J19</f>
        <v>0</v>
      </c>
      <c r="K19" s="123">
        <f>'OPENING STOCK'!K19+RECIEPTS!G19</f>
        <v>0</v>
      </c>
      <c r="L19" s="124">
        <f>'OPENING STOCK'!L19</f>
        <v>15</v>
      </c>
    </row>
    <row r="20" spans="1:12" ht="22.95" customHeight="1" x14ac:dyDescent="0.3">
      <c r="A20" s="3">
        <v>17</v>
      </c>
      <c r="B20" s="40" t="str">
        <f>'SALES &amp; RATE'!B20</f>
        <v>AFTER DARK</v>
      </c>
      <c r="C20" s="123">
        <f>'OPENING STOCK'!C20+RECIEPTS!C20</f>
        <v>0</v>
      </c>
      <c r="D20" s="124">
        <f>'OPENING STOCK'!D20</f>
        <v>0</v>
      </c>
      <c r="E20" s="125">
        <f>'OPENING STOCK'!E20+RECIEPTS!D20</f>
        <v>0</v>
      </c>
      <c r="F20" s="126">
        <f>'OPENING STOCK'!F20</f>
        <v>0</v>
      </c>
      <c r="G20" s="123">
        <f>'OPENING STOCK'!G20+RECIEPTS!E20</f>
        <v>0</v>
      </c>
      <c r="H20" s="124">
        <f>'OPENING STOCK'!H20</f>
        <v>0</v>
      </c>
      <c r="I20" s="125">
        <f>'OPENING STOCK'!I20+RECIEPTS!F20</f>
        <v>0</v>
      </c>
      <c r="J20" s="126">
        <f>'OPENING STOCK'!J20</f>
        <v>0</v>
      </c>
      <c r="K20" s="123">
        <f>'OPENING STOCK'!K20+RECIEPTS!G20</f>
        <v>0</v>
      </c>
      <c r="L20" s="124">
        <f>'OPENING STOCK'!L20</f>
        <v>0</v>
      </c>
    </row>
    <row r="21" spans="1:12" ht="22.95" customHeight="1" x14ac:dyDescent="0.3">
      <c r="A21" s="3">
        <v>18</v>
      </c>
      <c r="B21" s="40" t="str">
        <f>'SALES &amp; RATE'!B21</f>
        <v>B'LORE MALT (W)</v>
      </c>
      <c r="C21" s="123">
        <f>'OPENING STOCK'!C21+RECIEPTS!C21</f>
        <v>0</v>
      </c>
      <c r="D21" s="124">
        <f>'OPENING STOCK'!D21</f>
        <v>0</v>
      </c>
      <c r="E21" s="125">
        <f>'OPENING STOCK'!E21+RECIEPTS!D21</f>
        <v>0</v>
      </c>
      <c r="F21" s="126">
        <f>'OPENING STOCK'!F21</f>
        <v>0</v>
      </c>
      <c r="G21" s="123">
        <f>'OPENING STOCK'!G21+RECIEPTS!E21</f>
        <v>4</v>
      </c>
      <c r="H21" s="124">
        <f>'OPENING STOCK'!H21</f>
        <v>46</v>
      </c>
      <c r="I21" s="125">
        <f>'OPENING STOCK'!I21+RECIEPTS!F21</f>
        <v>5</v>
      </c>
      <c r="J21" s="126">
        <f>'OPENING STOCK'!J21</f>
        <v>20</v>
      </c>
      <c r="K21" s="123">
        <f>'OPENING STOCK'!K21+RECIEPTS!G21</f>
        <v>0</v>
      </c>
      <c r="L21" s="124">
        <f>'OPENING STOCK'!L21</f>
        <v>0</v>
      </c>
    </row>
    <row r="22" spans="1:12" ht="22.95" customHeight="1" x14ac:dyDescent="0.3">
      <c r="A22" s="3">
        <v>19</v>
      </c>
      <c r="B22" s="40">
        <f>'SALES &amp; RATE'!B22</f>
        <v>0</v>
      </c>
      <c r="C22" s="123">
        <f>'OPENING STOCK'!C22+RECIEPTS!C22</f>
        <v>0</v>
      </c>
      <c r="D22" s="124">
        <f>'OPENING STOCK'!D22</f>
        <v>0</v>
      </c>
      <c r="E22" s="125">
        <f>'OPENING STOCK'!E22+RECIEPTS!D22</f>
        <v>0</v>
      </c>
      <c r="F22" s="126">
        <f>'OPENING STOCK'!F22</f>
        <v>0</v>
      </c>
      <c r="G22" s="123">
        <f>'OPENING STOCK'!G22+RECIEPTS!E22</f>
        <v>0</v>
      </c>
      <c r="H22" s="124">
        <f>'OPENING STOCK'!H22</f>
        <v>0</v>
      </c>
      <c r="I22" s="125">
        <f>'OPENING STOCK'!I22+RECIEPTS!F22</f>
        <v>0</v>
      </c>
      <c r="J22" s="126">
        <f>'OPENING STOCK'!J22</f>
        <v>0</v>
      </c>
      <c r="K22" s="123">
        <f>'OPENING STOCK'!K22+RECIEPTS!G22</f>
        <v>0</v>
      </c>
      <c r="L22" s="124">
        <f>'OPENING STOCK'!L22</f>
        <v>0</v>
      </c>
    </row>
    <row r="23" spans="1:12" ht="22.95" customHeight="1" x14ac:dyDescent="0.3">
      <c r="A23" s="3">
        <v>20</v>
      </c>
      <c r="B23" s="40" t="str">
        <f>'SALES &amp; RATE'!B23</f>
        <v>ROYAL STAGE</v>
      </c>
      <c r="C23" s="123">
        <f>'OPENING STOCK'!C23+RECIEPTS!C23</f>
        <v>0</v>
      </c>
      <c r="D23" s="124">
        <f>'OPENING STOCK'!D23</f>
        <v>5</v>
      </c>
      <c r="E23" s="125">
        <f>'OPENING STOCK'!E23+RECIEPTS!D23</f>
        <v>0</v>
      </c>
      <c r="F23" s="126">
        <f>'OPENING STOCK'!F23</f>
        <v>11</v>
      </c>
      <c r="G23" s="123">
        <f>'OPENING STOCK'!G23+RECIEPTS!E23</f>
        <v>1</v>
      </c>
      <c r="H23" s="124">
        <f>'OPENING STOCK'!H23</f>
        <v>22</v>
      </c>
      <c r="I23" s="125">
        <f>'OPENING STOCK'!I23+RECIEPTS!F23</f>
        <v>0</v>
      </c>
      <c r="J23" s="126">
        <f>'OPENING STOCK'!J23</f>
        <v>90</v>
      </c>
      <c r="K23" s="123">
        <f>'OPENING STOCK'!K23+RECIEPTS!G23</f>
        <v>0</v>
      </c>
      <c r="L23" s="124">
        <f>'OPENING STOCK'!L23</f>
        <v>0</v>
      </c>
    </row>
    <row r="24" spans="1:12" ht="22.95" customHeight="1" x14ac:dyDescent="0.3">
      <c r="A24" s="3">
        <v>21</v>
      </c>
      <c r="B24" s="40" t="str">
        <f>'SALES &amp; RATE'!B24</f>
        <v>HAYWARDS(W)</v>
      </c>
      <c r="C24" s="123">
        <f>'OPENING STOCK'!C24+RECIEPTS!C24</f>
        <v>0</v>
      </c>
      <c r="D24" s="124">
        <f>'OPENING STOCK'!D24</f>
        <v>0</v>
      </c>
      <c r="E24" s="125">
        <f>'OPENING STOCK'!E24+RECIEPTS!D24</f>
        <v>0</v>
      </c>
      <c r="F24" s="126">
        <f>'OPENING STOCK'!F24</f>
        <v>0</v>
      </c>
      <c r="G24" s="123">
        <f>'OPENING STOCK'!G24+RECIEPTS!E24</f>
        <v>5</v>
      </c>
      <c r="H24" s="124">
        <f>'OPENING STOCK'!H24</f>
        <v>33</v>
      </c>
      <c r="I24" s="125">
        <f>'OPENING STOCK'!I24+RECIEPTS!F24</f>
        <v>3</v>
      </c>
      <c r="J24" s="126">
        <f>'OPENING STOCK'!J24</f>
        <v>48</v>
      </c>
      <c r="K24" s="123">
        <f>'OPENING STOCK'!K24+RECIEPTS!G24</f>
        <v>0</v>
      </c>
      <c r="L24" s="124">
        <f>'OPENING STOCK'!L24</f>
        <v>0</v>
      </c>
    </row>
    <row r="25" spans="1:12" ht="22.95" customHeight="1" x14ac:dyDescent="0.3">
      <c r="A25" s="3">
        <v>22</v>
      </c>
      <c r="B25" s="40" t="str">
        <f>'SALES &amp; RATE'!B25</f>
        <v xml:space="preserve">CNB RED </v>
      </c>
      <c r="C25" s="123">
        <f>'OPENING STOCK'!C25+RECIEPTS!C25</f>
        <v>0</v>
      </c>
      <c r="D25" s="124">
        <f>'OPENING STOCK'!D25</f>
        <v>0</v>
      </c>
      <c r="E25" s="125">
        <f>'OPENING STOCK'!E25+RECIEPTS!D25</f>
        <v>0</v>
      </c>
      <c r="F25" s="126">
        <f>'OPENING STOCK'!F25</f>
        <v>0</v>
      </c>
      <c r="G25" s="123">
        <f>'OPENING STOCK'!G25+RECIEPTS!E25</f>
        <v>0</v>
      </c>
      <c r="H25" s="124">
        <f>'OPENING STOCK'!H25</f>
        <v>17</v>
      </c>
      <c r="I25" s="125">
        <f>'OPENING STOCK'!I25+RECIEPTS!F25</f>
        <v>0</v>
      </c>
      <c r="J25" s="126">
        <f>'OPENING STOCK'!J25</f>
        <v>78</v>
      </c>
      <c r="K25" s="123">
        <f>'OPENING STOCK'!K25+RECIEPTS!G25</f>
        <v>0</v>
      </c>
      <c r="L25" s="124">
        <f>'OPENING STOCK'!L25</f>
        <v>0</v>
      </c>
    </row>
    <row r="26" spans="1:12" ht="22.95" customHeight="1" x14ac:dyDescent="0.3">
      <c r="A26" s="3">
        <v>23</v>
      </c>
      <c r="B26" s="40" t="str">
        <f>'SALES &amp; RATE'!B26</f>
        <v>8.PM (W)</v>
      </c>
      <c r="C26" s="123">
        <f>'OPENING STOCK'!C26+RECIEPTS!C26</f>
        <v>0</v>
      </c>
      <c r="D26" s="124">
        <f>'OPENING STOCK'!D26</f>
        <v>4</v>
      </c>
      <c r="E26" s="125">
        <f>'OPENING STOCK'!E26+RECIEPTS!D26</f>
        <v>0</v>
      </c>
      <c r="F26" s="126">
        <f>'OPENING STOCK'!F26</f>
        <v>3</v>
      </c>
      <c r="G26" s="123">
        <f>'OPENING STOCK'!G26+RECIEPTS!E26</f>
        <v>1</v>
      </c>
      <c r="H26" s="124">
        <f>'OPENING STOCK'!H26</f>
        <v>73</v>
      </c>
      <c r="I26" s="125">
        <f>'OPENING STOCK'!I26+RECIEPTS!F26</f>
        <v>1</v>
      </c>
      <c r="J26" s="126">
        <f>'OPENING STOCK'!J26</f>
        <v>196</v>
      </c>
      <c r="K26" s="123">
        <f>'OPENING STOCK'!K26+RECIEPTS!G26</f>
        <v>0</v>
      </c>
      <c r="L26" s="124">
        <f>'OPENING STOCK'!L26</f>
        <v>0</v>
      </c>
    </row>
    <row r="27" spans="1:12" ht="22.95" customHeight="1" x14ac:dyDescent="0.3">
      <c r="A27" s="3">
        <v>24</v>
      </c>
      <c r="B27" s="40" t="str">
        <f>'SALES &amp; RATE'!B27</f>
        <v>IMPERIAL BLUE(W)</v>
      </c>
      <c r="C27" s="123">
        <f>'OPENING STOCK'!C27+RECIEPTS!C27</f>
        <v>0</v>
      </c>
      <c r="D27" s="124">
        <f>'OPENING STOCK'!D27</f>
        <v>2</v>
      </c>
      <c r="E27" s="125">
        <f>'OPENING STOCK'!E27+RECIEPTS!D27</f>
        <v>0</v>
      </c>
      <c r="F27" s="126">
        <f>'OPENING STOCK'!F27</f>
        <v>24</v>
      </c>
      <c r="G27" s="123">
        <f>'OPENING STOCK'!G27+RECIEPTS!E27</f>
        <v>7</v>
      </c>
      <c r="H27" s="124">
        <f>'OPENING STOCK'!H27</f>
        <v>29</v>
      </c>
      <c r="I27" s="125">
        <f>'OPENING STOCK'!I27+RECIEPTS!F27</f>
        <v>5</v>
      </c>
      <c r="J27" s="126">
        <f>'OPENING STOCK'!J27</f>
        <v>57</v>
      </c>
      <c r="K27" s="123">
        <f>'OPENING STOCK'!K27+RECIEPTS!G27</f>
        <v>0</v>
      </c>
      <c r="L27" s="124">
        <f>'OPENING STOCK'!L27</f>
        <v>0</v>
      </c>
    </row>
    <row r="28" spans="1:12" ht="22.95" customHeight="1" x14ac:dyDescent="0.3">
      <c r="A28" s="3">
        <v>25</v>
      </c>
      <c r="B28" s="40" t="str">
        <f>'SALES &amp; RATE'!B28</f>
        <v>BLACK DOG(8)YRS</v>
      </c>
      <c r="C28" s="123">
        <f>'OPENING STOCK'!C28+RECIEPTS!C28</f>
        <v>0</v>
      </c>
      <c r="D28" s="124">
        <f>'OPENING STOCK'!D28</f>
        <v>0</v>
      </c>
      <c r="E28" s="125">
        <f>'OPENING STOCK'!E28+RECIEPTS!D28</f>
        <v>0</v>
      </c>
      <c r="F28" s="126">
        <f>'OPENING STOCK'!F28</f>
        <v>0</v>
      </c>
      <c r="G28" s="123">
        <f>'OPENING STOCK'!G28+RECIEPTS!E28</f>
        <v>0</v>
      </c>
      <c r="H28" s="124">
        <f>'OPENING STOCK'!H28</f>
        <v>13</v>
      </c>
      <c r="I28" s="125">
        <f>'OPENING STOCK'!I28+RECIEPTS!F28</f>
        <v>0</v>
      </c>
      <c r="J28" s="126">
        <f>'OPENING STOCK'!J28</f>
        <v>0</v>
      </c>
      <c r="K28" s="123">
        <f>'OPENING STOCK'!K28+RECIEPTS!G28</f>
        <v>0</v>
      </c>
      <c r="L28" s="124">
        <f>'OPENING STOCK'!L28</f>
        <v>0</v>
      </c>
    </row>
    <row r="29" spans="1:12" ht="22.95" customHeight="1" x14ac:dyDescent="0.3">
      <c r="A29" s="3">
        <v>26</v>
      </c>
      <c r="B29" s="40" t="str">
        <f>'SALES &amp; RATE'!B29</f>
        <v>100 PIPERS</v>
      </c>
      <c r="C29" s="123">
        <f>'OPENING STOCK'!C29+RECIEPTS!C29</f>
        <v>0</v>
      </c>
      <c r="D29" s="124">
        <f>'OPENING STOCK'!D29</f>
        <v>0</v>
      </c>
      <c r="E29" s="125">
        <f>'OPENING STOCK'!E29+RECIEPTS!D29</f>
        <v>0</v>
      </c>
      <c r="F29" s="126">
        <f>'OPENING STOCK'!F29</f>
        <v>0</v>
      </c>
      <c r="G29" s="123">
        <f>'OPENING STOCK'!G29+RECIEPTS!E29</f>
        <v>0</v>
      </c>
      <c r="H29" s="124">
        <f>'OPENING STOCK'!H29</f>
        <v>15</v>
      </c>
      <c r="I29" s="125">
        <f>'OPENING STOCK'!I29+RECIEPTS!F29</f>
        <v>0</v>
      </c>
      <c r="J29" s="126">
        <f>'OPENING STOCK'!J29</f>
        <v>0</v>
      </c>
      <c r="K29" s="123">
        <f>'OPENING STOCK'!K29+RECIEPTS!G29</f>
        <v>0</v>
      </c>
      <c r="L29" s="124">
        <f>'OPENING STOCK'!L29</f>
        <v>22</v>
      </c>
    </row>
    <row r="30" spans="1:12" ht="22.95" customHeight="1" x14ac:dyDescent="0.3">
      <c r="A30" s="3">
        <v>27</v>
      </c>
      <c r="B30" s="40" t="str">
        <f>'SALES &amp; RATE'!B30</f>
        <v>8.PM (W) BLUE</v>
      </c>
      <c r="C30" s="123">
        <f>'OPENING STOCK'!C30+RECIEPTS!C30</f>
        <v>0</v>
      </c>
      <c r="D30" s="124">
        <f>'OPENING STOCK'!D30</f>
        <v>0</v>
      </c>
      <c r="E30" s="125">
        <f>'OPENING STOCK'!E30+RECIEPTS!D30</f>
        <v>0</v>
      </c>
      <c r="F30" s="126">
        <f>'OPENING STOCK'!F30</f>
        <v>0</v>
      </c>
      <c r="G30" s="123">
        <f>'OPENING STOCK'!G30+RECIEPTS!E30</f>
        <v>0</v>
      </c>
      <c r="H30" s="124">
        <f>'OPENING STOCK'!H30</f>
        <v>0</v>
      </c>
      <c r="I30" s="125">
        <f>'OPENING STOCK'!I30+RECIEPTS!F30</f>
        <v>0</v>
      </c>
      <c r="J30" s="126">
        <f>'OPENING STOCK'!J30</f>
        <v>0</v>
      </c>
      <c r="K30" s="123">
        <f>'OPENING STOCK'!K30+RECIEPTS!G30</f>
        <v>0</v>
      </c>
      <c r="L30" s="124">
        <f>'OPENING STOCK'!L30</f>
        <v>0</v>
      </c>
    </row>
    <row r="31" spans="1:12" ht="22.95" customHeight="1" x14ac:dyDescent="0.3">
      <c r="A31" s="3">
        <v>28</v>
      </c>
      <c r="B31" s="40" t="str">
        <f>'SALES &amp; RATE'!B31</f>
        <v>TEACHERS HIGH</v>
      </c>
      <c r="C31" s="123">
        <f>'OPENING STOCK'!C31+RECIEPTS!C31</f>
        <v>0</v>
      </c>
      <c r="D31" s="124">
        <f>'OPENING STOCK'!D31</f>
        <v>0</v>
      </c>
      <c r="E31" s="125">
        <f>'OPENING STOCK'!E31+RECIEPTS!D31</f>
        <v>0</v>
      </c>
      <c r="F31" s="126">
        <f>'OPENING STOCK'!F31</f>
        <v>0</v>
      </c>
      <c r="G31" s="123">
        <f>'OPENING STOCK'!G31+RECIEPTS!E31</f>
        <v>0</v>
      </c>
      <c r="H31" s="124">
        <f>'OPENING STOCK'!H31</f>
        <v>0</v>
      </c>
      <c r="I31" s="125">
        <f>'OPENING STOCK'!I31+RECIEPTS!F31</f>
        <v>0</v>
      </c>
      <c r="J31" s="126">
        <f>'OPENING STOCK'!J31</f>
        <v>0</v>
      </c>
      <c r="K31" s="123">
        <f>'OPENING STOCK'!K31+RECIEPTS!G31</f>
        <v>0</v>
      </c>
      <c r="L31" s="124">
        <f>'OPENING STOCK'!L31</f>
        <v>0</v>
      </c>
    </row>
    <row r="32" spans="1:12" ht="22.95" customHeight="1" x14ac:dyDescent="0.3">
      <c r="A32" s="3">
        <v>29</v>
      </c>
      <c r="B32" s="40" t="str">
        <f>'SALES &amp; RATE'!B32</f>
        <v>ANTIQUITY BLUE(W)</v>
      </c>
      <c r="C32" s="123">
        <f>'OPENING STOCK'!C32+RECIEPTS!C32</f>
        <v>0</v>
      </c>
      <c r="D32" s="124">
        <f>'OPENING STOCK'!D32</f>
        <v>0</v>
      </c>
      <c r="E32" s="125">
        <f>'OPENING STOCK'!E32+RECIEPTS!D32</f>
        <v>0</v>
      </c>
      <c r="F32" s="126">
        <f>'OPENING STOCK'!F32</f>
        <v>0</v>
      </c>
      <c r="G32" s="123">
        <f>'OPENING STOCK'!G32+RECIEPTS!E32</f>
        <v>0</v>
      </c>
      <c r="H32" s="124">
        <f>'OPENING STOCK'!H32</f>
        <v>0</v>
      </c>
      <c r="I32" s="125">
        <f>'OPENING STOCK'!I32+RECIEPTS!F32</f>
        <v>0</v>
      </c>
      <c r="J32" s="126">
        <f>'OPENING STOCK'!J32</f>
        <v>0</v>
      </c>
      <c r="K32" s="123">
        <f>'OPENING STOCK'!K32+RECIEPTS!G32</f>
        <v>0</v>
      </c>
      <c r="L32" s="124">
        <f>'OPENING STOCK'!L32</f>
        <v>0</v>
      </c>
    </row>
    <row r="33" spans="1:12" ht="22.95" customHeight="1" x14ac:dyDescent="0.3">
      <c r="A33" s="3">
        <v>30</v>
      </c>
      <c r="B33" s="40">
        <f>'SALES &amp; RATE'!B33</f>
        <v>0</v>
      </c>
      <c r="C33" s="123">
        <f>'OPENING STOCK'!C33+RECIEPTS!C33</f>
        <v>0</v>
      </c>
      <c r="D33" s="124">
        <f>'OPENING STOCK'!D33</f>
        <v>0</v>
      </c>
      <c r="E33" s="125">
        <f>'OPENING STOCK'!E33+RECIEPTS!D33</f>
        <v>0</v>
      </c>
      <c r="F33" s="126">
        <f>'OPENING STOCK'!F33</f>
        <v>0</v>
      </c>
      <c r="G33" s="123">
        <f>'OPENING STOCK'!G33+RECIEPTS!E33</f>
        <v>0</v>
      </c>
      <c r="H33" s="124">
        <f>'OPENING STOCK'!H33</f>
        <v>0</v>
      </c>
      <c r="I33" s="125">
        <f>'OPENING STOCK'!I33+RECIEPTS!F33</f>
        <v>0</v>
      </c>
      <c r="J33" s="126">
        <f>'OPENING STOCK'!J33</f>
        <v>0</v>
      </c>
      <c r="K33" s="123">
        <f>'OPENING STOCK'!K33+RECIEPTS!G33</f>
        <v>0</v>
      </c>
      <c r="L33" s="124">
        <f>'OPENING STOCK'!L33</f>
        <v>0</v>
      </c>
    </row>
    <row r="34" spans="1:12" ht="22.95" customHeight="1" x14ac:dyDescent="0.3">
      <c r="A34" s="3">
        <v>31</v>
      </c>
      <c r="B34" s="40" t="str">
        <f>'SALES &amp; RATE'!B34</f>
        <v>VAT 69</v>
      </c>
      <c r="C34" s="123">
        <f>'OPENING STOCK'!C34+RECIEPTS!C34</f>
        <v>0</v>
      </c>
      <c r="D34" s="124">
        <f>'OPENING STOCK'!D34</f>
        <v>0</v>
      </c>
      <c r="E34" s="125">
        <f>'OPENING STOCK'!E34+RECIEPTS!D34</f>
        <v>0</v>
      </c>
      <c r="F34" s="126">
        <f>'OPENING STOCK'!F34</f>
        <v>0</v>
      </c>
      <c r="G34" s="123">
        <f>'OPENING STOCK'!G34+RECIEPTS!E34</f>
        <v>0</v>
      </c>
      <c r="H34" s="124">
        <f>'OPENING STOCK'!H34</f>
        <v>23</v>
      </c>
      <c r="I34" s="125">
        <f>'OPENING STOCK'!I34+RECIEPTS!F34</f>
        <v>0</v>
      </c>
      <c r="J34" s="126">
        <f>'OPENING STOCK'!J34</f>
        <v>0</v>
      </c>
      <c r="K34" s="123">
        <f>'OPENING STOCK'!K34+RECIEPTS!G34</f>
        <v>0</v>
      </c>
      <c r="L34" s="124">
        <f>'OPENING STOCK'!L34</f>
        <v>0</v>
      </c>
    </row>
    <row r="35" spans="1:12" ht="22.95" customHeight="1" x14ac:dyDescent="0.3">
      <c r="A35" s="3">
        <v>32</v>
      </c>
      <c r="B35" s="40" t="str">
        <f>'SALES &amp; RATE'!B35</f>
        <v>HERCULES RUM</v>
      </c>
      <c r="C35" s="123">
        <f>'OPENING STOCK'!C35+RECIEPTS!C35</f>
        <v>0</v>
      </c>
      <c r="D35" s="124">
        <f>'OPENING STOCK'!D35</f>
        <v>5</v>
      </c>
      <c r="E35" s="125">
        <f>'OPENING STOCK'!E35+RECIEPTS!D35</f>
        <v>0</v>
      </c>
      <c r="F35" s="126">
        <f>'OPENING STOCK'!F35</f>
        <v>21</v>
      </c>
      <c r="G35" s="123">
        <f>'OPENING STOCK'!G35+RECIEPTS!E35</f>
        <v>1</v>
      </c>
      <c r="H35" s="124">
        <f>'OPENING STOCK'!H35</f>
        <v>54</v>
      </c>
      <c r="I35" s="125">
        <f>'OPENING STOCK'!I35+RECIEPTS!F35</f>
        <v>0</v>
      </c>
      <c r="J35" s="126">
        <f>'OPENING STOCK'!J35</f>
        <v>0</v>
      </c>
      <c r="K35" s="123">
        <f>'OPENING STOCK'!K35+RECIEPTS!G35</f>
        <v>0</v>
      </c>
      <c r="L35" s="124">
        <f>'OPENING STOCK'!L35</f>
        <v>0</v>
      </c>
    </row>
    <row r="36" spans="1:12" ht="22.95" customHeight="1" x14ac:dyDescent="0.3">
      <c r="A36" s="3">
        <v>33</v>
      </c>
      <c r="B36" s="40" t="str">
        <f>'SALES &amp; RATE'!B36</f>
        <v>M C RUM</v>
      </c>
      <c r="C36" s="123">
        <f>'OPENING STOCK'!C36+RECIEPTS!C36</f>
        <v>0</v>
      </c>
      <c r="D36" s="124">
        <f>'OPENING STOCK'!D36</f>
        <v>7</v>
      </c>
      <c r="E36" s="125">
        <f>'OPENING STOCK'!E36+RECIEPTS!D36</f>
        <v>0</v>
      </c>
      <c r="F36" s="126">
        <f>'OPENING STOCK'!F36</f>
        <v>19</v>
      </c>
      <c r="G36" s="123">
        <f>'OPENING STOCK'!G36+RECIEPTS!E36</f>
        <v>0</v>
      </c>
      <c r="H36" s="124">
        <f>'OPENING STOCK'!H36</f>
        <v>0</v>
      </c>
      <c r="I36" s="125">
        <f>'OPENING STOCK'!I36+RECIEPTS!F36</f>
        <v>0</v>
      </c>
      <c r="J36" s="126">
        <f>'OPENING STOCK'!J36</f>
        <v>0</v>
      </c>
      <c r="K36" s="123">
        <f>'OPENING STOCK'!K36+RECIEPTS!G36</f>
        <v>0</v>
      </c>
      <c r="L36" s="124">
        <f>'OPENING STOCK'!L36</f>
        <v>0</v>
      </c>
    </row>
    <row r="37" spans="1:12" ht="22.95" customHeight="1" x14ac:dyDescent="0.3">
      <c r="A37" s="3">
        <v>34</v>
      </c>
      <c r="B37" s="40" t="str">
        <f>'SALES &amp; RATE'!B37</f>
        <v>OLD MONK RUM</v>
      </c>
      <c r="C37" s="123">
        <f>'OPENING STOCK'!C37+RECIEPTS!C37</f>
        <v>0</v>
      </c>
      <c r="D37" s="124">
        <f>'OPENING STOCK'!D37</f>
        <v>7</v>
      </c>
      <c r="E37" s="125">
        <f>'OPENING STOCK'!E37+RECIEPTS!D37</f>
        <v>1</v>
      </c>
      <c r="F37" s="126">
        <f>'OPENING STOCK'!F37</f>
        <v>9</v>
      </c>
      <c r="G37" s="123">
        <f>'OPENING STOCK'!G37+RECIEPTS!E37</f>
        <v>11</v>
      </c>
      <c r="H37" s="124">
        <f>'OPENING STOCK'!H37</f>
        <v>84</v>
      </c>
      <c r="I37" s="125">
        <f>'OPENING STOCK'!I37+RECIEPTS!F37</f>
        <v>6</v>
      </c>
      <c r="J37" s="126">
        <f>'OPENING STOCK'!J37</f>
        <v>50</v>
      </c>
      <c r="K37" s="123">
        <f>'OPENING STOCK'!K37+RECIEPTS!G37</f>
        <v>0</v>
      </c>
      <c r="L37" s="124">
        <f>'OPENING STOCK'!L37</f>
        <v>0</v>
      </c>
    </row>
    <row r="38" spans="1:12" ht="22.95" customHeight="1" x14ac:dyDescent="0.3">
      <c r="A38" s="3">
        <v>35</v>
      </c>
      <c r="B38" s="40" t="str">
        <f>'SALES &amp; RATE'!B38</f>
        <v>MC RUM CLASSIC</v>
      </c>
      <c r="C38" s="123">
        <f>'OPENING STOCK'!C38+RECIEPTS!C38</f>
        <v>0</v>
      </c>
      <c r="D38" s="124">
        <f>'OPENING STOCK'!D38</f>
        <v>0</v>
      </c>
      <c r="E38" s="125">
        <f>'OPENING STOCK'!E38+RECIEPTS!D38</f>
        <v>0</v>
      </c>
      <c r="F38" s="126">
        <f>'OPENING STOCK'!F38</f>
        <v>0</v>
      </c>
      <c r="G38" s="123">
        <f>'OPENING STOCK'!G38+RECIEPTS!E38</f>
        <v>3</v>
      </c>
      <c r="H38" s="124">
        <f>'OPENING STOCK'!H38</f>
        <v>49</v>
      </c>
      <c r="I38" s="125">
        <f>'OPENING STOCK'!I38+RECIEPTS!F38</f>
        <v>3</v>
      </c>
      <c r="J38" s="126">
        <f>'OPENING STOCK'!J38</f>
        <v>73</v>
      </c>
      <c r="K38" s="123">
        <f>'OPENING STOCK'!K38+RECIEPTS!G38</f>
        <v>0</v>
      </c>
      <c r="L38" s="124">
        <f>'OPENING STOCK'!L38</f>
        <v>0</v>
      </c>
    </row>
    <row r="39" spans="1:12" ht="22.95" customHeight="1" x14ac:dyDescent="0.3">
      <c r="A39" s="3">
        <v>36</v>
      </c>
      <c r="B39" s="40">
        <f>'SALES &amp; RATE'!B39</f>
        <v>0</v>
      </c>
      <c r="C39" s="123">
        <f>'OPENING STOCK'!C39+RECIEPTS!C39</f>
        <v>0</v>
      </c>
      <c r="D39" s="124">
        <f>'OPENING STOCK'!D39</f>
        <v>0</v>
      </c>
      <c r="E39" s="125">
        <f>'OPENING STOCK'!E39+RECIEPTS!D39</f>
        <v>0</v>
      </c>
      <c r="F39" s="126">
        <f>'OPENING STOCK'!F39</f>
        <v>0</v>
      </c>
      <c r="G39" s="123">
        <f>'OPENING STOCK'!G39+RECIEPTS!E39</f>
        <v>0</v>
      </c>
      <c r="H39" s="124">
        <f>'OPENING STOCK'!H39</f>
        <v>0</v>
      </c>
      <c r="I39" s="125">
        <f>'OPENING STOCK'!I39+RECIEPTS!F39</f>
        <v>0</v>
      </c>
      <c r="J39" s="126">
        <f>'OPENING STOCK'!J39</f>
        <v>0</v>
      </c>
      <c r="K39" s="123">
        <f>'OPENING STOCK'!K39+RECIEPTS!G39</f>
        <v>0</v>
      </c>
      <c r="L39" s="124">
        <f>'OPENING STOCK'!L39</f>
        <v>0</v>
      </c>
    </row>
    <row r="40" spans="1:12" ht="22.95" customHeight="1" x14ac:dyDescent="0.3">
      <c r="A40" s="3">
        <v>37</v>
      </c>
      <c r="B40" s="40" t="str">
        <f>'SALES &amp; RATE'!B40</f>
        <v>BAGPIPER RUM</v>
      </c>
      <c r="C40" s="123">
        <f>'OPENING STOCK'!C40+RECIEPTS!C40</f>
        <v>0</v>
      </c>
      <c r="D40" s="124">
        <f>'OPENING STOCK'!D40</f>
        <v>0</v>
      </c>
      <c r="E40" s="125">
        <f>'OPENING STOCK'!E40+RECIEPTS!D40</f>
        <v>0</v>
      </c>
      <c r="F40" s="126">
        <f>'OPENING STOCK'!F40</f>
        <v>0</v>
      </c>
      <c r="G40" s="123">
        <f>'OPENING STOCK'!G40+RECIEPTS!E40</f>
        <v>5</v>
      </c>
      <c r="H40" s="124">
        <f>'OPENING STOCK'!H40</f>
        <v>77</v>
      </c>
      <c r="I40" s="125">
        <f>'OPENING STOCK'!I40+RECIEPTS!F40</f>
        <v>5</v>
      </c>
      <c r="J40" s="126">
        <f>'OPENING STOCK'!J40</f>
        <v>59</v>
      </c>
      <c r="K40" s="123">
        <f>'OPENING STOCK'!K40+RECIEPTS!G40</f>
        <v>0</v>
      </c>
      <c r="L40" s="124">
        <f>'OPENING STOCK'!L40</f>
        <v>0</v>
      </c>
    </row>
    <row r="41" spans="1:12" ht="22.95" customHeight="1" x14ac:dyDescent="0.3">
      <c r="A41" s="3">
        <v>38</v>
      </c>
      <c r="B41" s="40" t="str">
        <f>'SALES &amp; RATE'!B41</f>
        <v>BACARDI  ORN+APP+LIM</v>
      </c>
      <c r="C41" s="123">
        <f>'OPENING STOCK'!C41+RECIEPTS!C41</f>
        <v>0</v>
      </c>
      <c r="D41" s="124">
        <f>'OPENING STOCK'!D41</f>
        <v>2</v>
      </c>
      <c r="E41" s="125">
        <f>'OPENING STOCK'!E41+RECIEPTS!D41</f>
        <v>0</v>
      </c>
      <c r="F41" s="126">
        <f>'OPENING STOCK'!F41</f>
        <v>7</v>
      </c>
      <c r="G41" s="123">
        <f>'OPENING STOCK'!G41+RECIEPTS!E41</f>
        <v>0</v>
      </c>
      <c r="H41" s="124">
        <f>'OPENING STOCK'!H41</f>
        <v>36</v>
      </c>
      <c r="I41" s="125">
        <f>'OPENING STOCK'!I41+RECIEPTS!F41</f>
        <v>0</v>
      </c>
      <c r="J41" s="126">
        <f>'OPENING STOCK'!J41</f>
        <v>0</v>
      </c>
      <c r="K41" s="123">
        <f>'OPENING STOCK'!K41+RECIEPTS!G41</f>
        <v>0</v>
      </c>
      <c r="L41" s="124">
        <f>'OPENING STOCK'!L41</f>
        <v>19</v>
      </c>
    </row>
    <row r="42" spans="1:12" ht="22.95" customHeight="1" x14ac:dyDescent="0.3">
      <c r="A42" s="3">
        <v>39</v>
      </c>
      <c r="B42" s="40" t="str">
        <f>'SALES &amp; RATE'!B42</f>
        <v>LEGACY RUM</v>
      </c>
      <c r="C42" s="123">
        <f>'OPENING STOCK'!C42+RECIEPTS!C42</f>
        <v>0</v>
      </c>
      <c r="D42" s="124">
        <f>'OPENING STOCK'!D42</f>
        <v>0</v>
      </c>
      <c r="E42" s="125">
        <f>'OPENING STOCK'!E42+RECIEPTS!D42</f>
        <v>0</v>
      </c>
      <c r="F42" s="126">
        <f>'OPENING STOCK'!F42</f>
        <v>0</v>
      </c>
      <c r="G42" s="123">
        <f>'OPENING STOCK'!G42+RECIEPTS!E42</f>
        <v>4</v>
      </c>
      <c r="H42" s="124">
        <f>'OPENING STOCK'!H42</f>
        <v>42</v>
      </c>
      <c r="I42" s="125">
        <f>'OPENING STOCK'!I42+RECIEPTS!F42</f>
        <v>0</v>
      </c>
      <c r="J42" s="126">
        <f>'OPENING STOCK'!J42</f>
        <v>0</v>
      </c>
      <c r="K42" s="123">
        <f>'OPENING STOCK'!K42+RECIEPTS!G42</f>
        <v>0</v>
      </c>
      <c r="L42" s="124">
        <f>'OPENING STOCK'!L42</f>
        <v>0</v>
      </c>
    </row>
    <row r="43" spans="1:12" ht="22.95" customHeight="1" x14ac:dyDescent="0.3">
      <c r="A43" s="3">
        <v>40</v>
      </c>
      <c r="B43" s="40" t="str">
        <f>'SALES &amp; RATE'!B43</f>
        <v>B'LORE RUM</v>
      </c>
      <c r="C43" s="123">
        <f>'OPENING STOCK'!C43+RECIEPTS!C43</f>
        <v>0</v>
      </c>
      <c r="D43" s="124">
        <f>'OPENING STOCK'!D43</f>
        <v>0</v>
      </c>
      <c r="E43" s="125">
        <f>'OPENING STOCK'!E43+RECIEPTS!D43</f>
        <v>0</v>
      </c>
      <c r="F43" s="126">
        <f>'OPENING STOCK'!F43</f>
        <v>0</v>
      </c>
      <c r="G43" s="123">
        <f>'OPENING STOCK'!G43+RECIEPTS!E43</f>
        <v>4</v>
      </c>
      <c r="H43" s="124">
        <f>'OPENING STOCK'!H43</f>
        <v>115</v>
      </c>
      <c r="I43" s="125">
        <f>'OPENING STOCK'!I43+RECIEPTS!F43</f>
        <v>3</v>
      </c>
      <c r="J43" s="126">
        <f>'OPENING STOCK'!J43</f>
        <v>25</v>
      </c>
      <c r="K43" s="123">
        <f>'OPENING STOCK'!K43+RECIEPTS!G43</f>
        <v>0</v>
      </c>
      <c r="L43" s="124">
        <f>'OPENING STOCK'!L43</f>
        <v>0</v>
      </c>
    </row>
    <row r="44" spans="1:12" ht="22.95" customHeight="1" x14ac:dyDescent="0.3">
      <c r="A44" s="43">
        <v>41</v>
      </c>
      <c r="B44" s="40" t="str">
        <f>'SALES &amp; RATE'!B44</f>
        <v>AMRUT RUM</v>
      </c>
      <c r="C44" s="123">
        <f>'OPENING STOCK'!C44+RECIEPTS!C44</f>
        <v>0</v>
      </c>
      <c r="D44" s="124">
        <f>'OPENING STOCK'!D44</f>
        <v>0</v>
      </c>
      <c r="E44" s="125">
        <f>'OPENING STOCK'!E44+RECIEPTS!D44</f>
        <v>0</v>
      </c>
      <c r="F44" s="126">
        <f>'OPENING STOCK'!F44</f>
        <v>0</v>
      </c>
      <c r="G44" s="123">
        <f>'OPENING STOCK'!G44+RECIEPTS!E44</f>
        <v>4</v>
      </c>
      <c r="H44" s="124">
        <f>'OPENING STOCK'!H44</f>
        <v>76</v>
      </c>
      <c r="I44" s="125">
        <f>'OPENING STOCK'!I44+RECIEPTS!F44</f>
        <v>4</v>
      </c>
      <c r="J44" s="126">
        <f>'OPENING STOCK'!J44</f>
        <v>49</v>
      </c>
      <c r="K44" s="123">
        <f>'OPENING STOCK'!K44+RECIEPTS!G44</f>
        <v>0</v>
      </c>
      <c r="L44" s="124">
        <f>'OPENING STOCK'!L44</f>
        <v>0</v>
      </c>
    </row>
    <row r="45" spans="1:12" ht="22.95" customHeight="1" x14ac:dyDescent="0.3">
      <c r="A45" s="3">
        <v>42</v>
      </c>
      <c r="B45" s="40" t="str">
        <f>'SALES &amp; RATE'!B45</f>
        <v>BLACK &amp; WHITE (8)YRS</v>
      </c>
      <c r="C45" s="123">
        <f>'OPENING STOCK'!C45+RECIEPTS!C45</f>
        <v>0</v>
      </c>
      <c r="D45" s="124">
        <f>'OPENING STOCK'!D45</f>
        <v>0</v>
      </c>
      <c r="E45" s="125">
        <f>'OPENING STOCK'!E45+RECIEPTS!D45</f>
        <v>0</v>
      </c>
      <c r="F45" s="126">
        <f>'OPENING STOCK'!F45</f>
        <v>0</v>
      </c>
      <c r="G45" s="123">
        <f>'OPENING STOCK'!G45+RECIEPTS!E45</f>
        <v>0</v>
      </c>
      <c r="H45" s="124">
        <f>'OPENING STOCK'!H45</f>
        <v>19</v>
      </c>
      <c r="I45" s="125">
        <f>'OPENING STOCK'!I45+RECIEPTS!F45</f>
        <v>0</v>
      </c>
      <c r="J45" s="126">
        <f>'OPENING STOCK'!J45</f>
        <v>0</v>
      </c>
      <c r="K45" s="123">
        <f>'OPENING STOCK'!K45+RECIEPTS!G45</f>
        <v>0</v>
      </c>
      <c r="L45" s="124">
        <f>'OPENING STOCK'!L45</f>
        <v>5</v>
      </c>
    </row>
    <row r="46" spans="1:12" ht="22.95" customHeight="1" x14ac:dyDescent="0.3">
      <c r="A46" s="43">
        <v>43</v>
      </c>
      <c r="B46" s="40" t="str">
        <f>'SALES &amp; RATE'!B46</f>
        <v>COURIOR NEPOLIN BRANDY</v>
      </c>
      <c r="C46" s="123">
        <f>'OPENING STOCK'!C46+RECIEPTS!C46</f>
        <v>0</v>
      </c>
      <c r="D46" s="124">
        <f>'OPENING STOCK'!D46</f>
        <v>3</v>
      </c>
      <c r="E46" s="125">
        <f>'OPENING STOCK'!E46+RECIEPTS!D46</f>
        <v>0</v>
      </c>
      <c r="F46" s="126">
        <f>'OPENING STOCK'!F46</f>
        <v>0</v>
      </c>
      <c r="G46" s="123">
        <f>'OPENING STOCK'!G46+RECIEPTS!E46</f>
        <v>0</v>
      </c>
      <c r="H46" s="124">
        <f>'OPENING STOCK'!H46</f>
        <v>26</v>
      </c>
      <c r="I46" s="125">
        <f>'OPENING STOCK'!I46+RECIEPTS!F46</f>
        <v>0</v>
      </c>
      <c r="J46" s="126">
        <f>'OPENING STOCK'!J46</f>
        <v>0</v>
      </c>
      <c r="K46" s="123">
        <f>'OPENING STOCK'!K46+RECIEPTS!G46</f>
        <v>0</v>
      </c>
      <c r="L46" s="124">
        <f>'OPENING STOCK'!L46</f>
        <v>22</v>
      </c>
    </row>
    <row r="47" spans="1:12" ht="22.95" customHeight="1" x14ac:dyDescent="0.3">
      <c r="A47" s="3">
        <v>44</v>
      </c>
      <c r="B47" s="40" t="str">
        <f>'SALES &amp; RATE'!B47</f>
        <v>FIREBALL</v>
      </c>
      <c r="C47" s="123">
        <f>'OPENING STOCK'!C47+RECIEPTS!C47</f>
        <v>0</v>
      </c>
      <c r="D47" s="124">
        <f>'OPENING STOCK'!D47</f>
        <v>0</v>
      </c>
      <c r="E47" s="125">
        <f>'OPENING STOCK'!E47+RECIEPTS!D47</f>
        <v>0</v>
      </c>
      <c r="F47" s="126">
        <f>'OPENING STOCK'!F47</f>
        <v>0</v>
      </c>
      <c r="G47" s="123">
        <f>'OPENING STOCK'!G47+RECIEPTS!E47</f>
        <v>0</v>
      </c>
      <c r="H47" s="124">
        <f>'OPENING STOCK'!H47</f>
        <v>17</v>
      </c>
      <c r="I47" s="125">
        <f>'OPENING STOCK'!I47+RECIEPTS!F47</f>
        <v>0</v>
      </c>
      <c r="J47" s="126">
        <f>'OPENING STOCK'!J47</f>
        <v>49</v>
      </c>
      <c r="K47" s="123">
        <f>'OPENING STOCK'!K47+RECIEPTS!G47</f>
        <v>0</v>
      </c>
      <c r="L47" s="124">
        <f>'OPENING STOCK'!L47</f>
        <v>0</v>
      </c>
    </row>
    <row r="48" spans="1:12" ht="22.95" customHeight="1" x14ac:dyDescent="0.3">
      <c r="A48" s="43">
        <v>45</v>
      </c>
      <c r="B48" s="40" t="str">
        <f>'SALES &amp; RATE'!B48</f>
        <v>HONEY CUP BRANDY</v>
      </c>
      <c r="C48" s="123">
        <f>'OPENING STOCK'!C48+RECIEPTS!C48</f>
        <v>0</v>
      </c>
      <c r="D48" s="124">
        <f>'OPENING STOCK'!D48</f>
        <v>0</v>
      </c>
      <c r="E48" s="125">
        <f>'OPENING STOCK'!E48+RECIEPTS!D48</f>
        <v>0</v>
      </c>
      <c r="F48" s="126">
        <f>'OPENING STOCK'!F48</f>
        <v>0</v>
      </c>
      <c r="G48" s="123">
        <f>'OPENING STOCK'!G48+RECIEPTS!E48</f>
        <v>0</v>
      </c>
      <c r="H48" s="124">
        <f>'OPENING STOCK'!H48</f>
        <v>0</v>
      </c>
      <c r="I48" s="125">
        <f>'OPENING STOCK'!I48+RECIEPTS!F48</f>
        <v>0</v>
      </c>
      <c r="J48" s="126">
        <f>'OPENING STOCK'!J48</f>
        <v>61</v>
      </c>
      <c r="K48" s="123">
        <f>'OPENING STOCK'!K48+RECIEPTS!G48</f>
        <v>0</v>
      </c>
      <c r="L48" s="124">
        <f>'OPENING STOCK'!L48</f>
        <v>0</v>
      </c>
    </row>
    <row r="49" spans="1:12" ht="22.95" customHeight="1" x14ac:dyDescent="0.3">
      <c r="A49" s="3">
        <v>46</v>
      </c>
      <c r="B49" s="40" t="str">
        <f>'SALES &amp; RATE'!B49</f>
        <v>ROULETTE BRANDY</v>
      </c>
      <c r="C49" s="123">
        <f>'OPENING STOCK'!C49+RECIEPTS!C49</f>
        <v>0</v>
      </c>
      <c r="D49" s="124">
        <f>'OPENING STOCK'!D49</f>
        <v>0</v>
      </c>
      <c r="E49" s="125">
        <f>'OPENING STOCK'!E49+RECIEPTS!D49</f>
        <v>0</v>
      </c>
      <c r="F49" s="126">
        <f>'OPENING STOCK'!F49</f>
        <v>0</v>
      </c>
      <c r="G49" s="123">
        <f>'OPENING STOCK'!G49+RECIEPTS!E49</f>
        <v>0</v>
      </c>
      <c r="H49" s="124">
        <f>'OPENING STOCK'!H49</f>
        <v>0</v>
      </c>
      <c r="I49" s="125">
        <f>'OPENING STOCK'!I49+RECIEPTS!F49</f>
        <v>0</v>
      </c>
      <c r="J49" s="126">
        <f>'OPENING STOCK'!J49</f>
        <v>0</v>
      </c>
      <c r="K49" s="123">
        <f>'OPENING STOCK'!K49+RECIEPTS!G49</f>
        <v>0</v>
      </c>
      <c r="L49" s="124">
        <f>'OPENING STOCK'!L49</f>
        <v>0</v>
      </c>
    </row>
    <row r="50" spans="1:12" ht="22.95" customHeight="1" thickBot="1" x14ac:dyDescent="0.35">
      <c r="A50" s="41">
        <v>47</v>
      </c>
      <c r="B50" s="40">
        <f>'SALES &amp; RATE'!B50</f>
        <v>0</v>
      </c>
      <c r="C50" s="123">
        <f>'OPENING STOCK'!C50+RECIEPTS!C50</f>
        <v>0</v>
      </c>
      <c r="D50" s="124">
        <f>'OPENING STOCK'!D50</f>
        <v>0</v>
      </c>
      <c r="E50" s="125">
        <f>'OPENING STOCK'!E50+RECIEPTS!D50</f>
        <v>0</v>
      </c>
      <c r="F50" s="126">
        <f>'OPENING STOCK'!F50</f>
        <v>0</v>
      </c>
      <c r="G50" s="123">
        <f>'OPENING STOCK'!G50+RECIEPTS!E50</f>
        <v>0</v>
      </c>
      <c r="H50" s="124">
        <f>'OPENING STOCK'!H50</f>
        <v>0</v>
      </c>
      <c r="I50" s="125">
        <f>'OPENING STOCK'!I50+RECIEPTS!F50</f>
        <v>0</v>
      </c>
      <c r="J50" s="126">
        <f>'OPENING STOCK'!J50</f>
        <v>0</v>
      </c>
      <c r="K50" s="123">
        <f>'OPENING STOCK'!K50+RECIEPTS!G50</f>
        <v>0</v>
      </c>
      <c r="L50" s="124">
        <f>'OPENING STOCK'!L50</f>
        <v>0</v>
      </c>
    </row>
    <row r="51" spans="1:12" ht="22.95" customHeight="1" thickBot="1" x14ac:dyDescent="0.35">
      <c r="A51" s="320" t="s">
        <v>113</v>
      </c>
      <c r="B51" s="321"/>
      <c r="C51" s="324" t="s">
        <v>118</v>
      </c>
      <c r="D51" s="325"/>
      <c r="E51" s="325"/>
      <c r="F51" s="325"/>
      <c r="G51" s="325"/>
      <c r="H51" s="325"/>
      <c r="I51" s="325"/>
      <c r="J51" s="325"/>
      <c r="K51" s="325"/>
      <c r="L51" s="326"/>
    </row>
    <row r="52" spans="1:12" ht="22.95" customHeight="1" x14ac:dyDescent="0.3">
      <c r="A52" s="322"/>
      <c r="B52" s="323"/>
      <c r="C52" s="235" t="s">
        <v>4</v>
      </c>
      <c r="D52" s="237"/>
      <c r="E52" s="238" t="s">
        <v>5</v>
      </c>
      <c r="F52" s="236"/>
      <c r="G52" s="235" t="s">
        <v>6</v>
      </c>
      <c r="H52" s="237"/>
      <c r="I52" s="241" t="s">
        <v>7</v>
      </c>
      <c r="J52" s="242"/>
      <c r="K52" s="239" t="s">
        <v>8</v>
      </c>
      <c r="L52" s="240"/>
    </row>
    <row r="53" spans="1:12" ht="22.95" customHeight="1" x14ac:dyDescent="0.3">
      <c r="A53" s="169" t="s">
        <v>9</v>
      </c>
      <c r="B53" s="170" t="s">
        <v>13</v>
      </c>
      <c r="C53" s="161" t="s">
        <v>2</v>
      </c>
      <c r="D53" s="162" t="s">
        <v>3</v>
      </c>
      <c r="E53" s="163" t="s">
        <v>10</v>
      </c>
      <c r="F53" s="164" t="s">
        <v>3</v>
      </c>
      <c r="G53" s="161" t="s">
        <v>11</v>
      </c>
      <c r="H53" s="162" t="s">
        <v>3</v>
      </c>
      <c r="I53" s="165" t="s">
        <v>12</v>
      </c>
      <c r="J53" s="166" t="s">
        <v>3</v>
      </c>
      <c r="K53" s="167" t="s">
        <v>77</v>
      </c>
      <c r="L53" s="168" t="s">
        <v>3</v>
      </c>
    </row>
    <row r="54" spans="1:12" ht="22.95" customHeight="1" x14ac:dyDescent="0.3">
      <c r="A54" s="3">
        <v>1</v>
      </c>
      <c r="B54" s="40" t="str">
        <f>'SALES &amp; RATE'!B54</f>
        <v>CARNIVAL GIN</v>
      </c>
      <c r="C54" s="123">
        <f>'OPENING STOCK'!C54+RECIEPTS!C54</f>
        <v>0</v>
      </c>
      <c r="D54" s="124">
        <f>'OPENING STOCK'!D54</f>
        <v>0</v>
      </c>
      <c r="E54" s="125">
        <f>'OPENING STOCK'!E54+RECIEPTS!D54</f>
        <v>0</v>
      </c>
      <c r="F54" s="126">
        <f>'OPENING STOCK'!F54</f>
        <v>0</v>
      </c>
      <c r="G54" s="123">
        <f>'OPENING STOCK'!G54+RECIEPTS!E54</f>
        <v>1</v>
      </c>
      <c r="H54" s="124">
        <f>'OPENING STOCK'!H54</f>
        <v>16</v>
      </c>
      <c r="I54" s="125">
        <f>'OPENING STOCK'!I54+RECIEPTS!F54</f>
        <v>0</v>
      </c>
      <c r="J54" s="126">
        <f>'OPENING STOCK'!J54</f>
        <v>82</v>
      </c>
      <c r="K54" s="123">
        <f>'OPENING STOCK'!K54+RECIEPTS!G54</f>
        <v>0</v>
      </c>
      <c r="L54" s="124">
        <f>'OPENING STOCK'!L54</f>
        <v>0</v>
      </c>
    </row>
    <row r="55" spans="1:12" ht="22.95" customHeight="1" x14ac:dyDescent="0.3">
      <c r="A55" s="3">
        <v>2</v>
      </c>
      <c r="B55" s="40" t="str">
        <f>'SALES &amp; RATE'!B55</f>
        <v>SMIRNOFF VODKA</v>
      </c>
      <c r="C55" s="123">
        <f>'OPENING STOCK'!C55+RECIEPTS!C55</f>
        <v>0</v>
      </c>
      <c r="D55" s="124">
        <f>'OPENING STOCK'!D55</f>
        <v>4</v>
      </c>
      <c r="E55" s="125">
        <f>'OPENING STOCK'!E55+RECIEPTS!D55</f>
        <v>0</v>
      </c>
      <c r="F55" s="126">
        <f>'OPENING STOCK'!F55</f>
        <v>0</v>
      </c>
      <c r="G55" s="123">
        <f>'OPENING STOCK'!G55+RECIEPTS!E55</f>
        <v>0</v>
      </c>
      <c r="H55" s="124">
        <f>'OPENING STOCK'!H55</f>
        <v>59</v>
      </c>
      <c r="I55" s="125">
        <f>'OPENING STOCK'!I55+RECIEPTS!F55</f>
        <v>0</v>
      </c>
      <c r="J55" s="126">
        <f>'OPENING STOCK'!J55</f>
        <v>0</v>
      </c>
      <c r="K55" s="123">
        <f>'OPENING STOCK'!K55+RECIEPTS!G55</f>
        <v>0</v>
      </c>
      <c r="L55" s="124">
        <f>'OPENING STOCK'!L55</f>
        <v>20</v>
      </c>
    </row>
    <row r="56" spans="1:12" ht="22.95" customHeight="1" x14ac:dyDescent="0.3">
      <c r="A56" s="3">
        <v>3</v>
      </c>
      <c r="B56" s="40" t="str">
        <f>'SALES &amp; RATE'!B56</f>
        <v>MUSCOVY LEMON</v>
      </c>
      <c r="C56" s="123">
        <f>'OPENING STOCK'!C56+RECIEPTS!C56</f>
        <v>0</v>
      </c>
      <c r="D56" s="124">
        <f>'OPENING STOCK'!D56</f>
        <v>0</v>
      </c>
      <c r="E56" s="125">
        <f>'OPENING STOCK'!E56+RECIEPTS!D56</f>
        <v>0</v>
      </c>
      <c r="F56" s="126">
        <f>'OPENING STOCK'!F56</f>
        <v>0</v>
      </c>
      <c r="G56" s="123">
        <f>'OPENING STOCK'!G56+RECIEPTS!E56</f>
        <v>0</v>
      </c>
      <c r="H56" s="124">
        <f>'OPENING STOCK'!H56</f>
        <v>48</v>
      </c>
      <c r="I56" s="125">
        <f>'OPENING STOCK'!I56+RECIEPTS!F56</f>
        <v>0</v>
      </c>
      <c r="J56" s="126">
        <f>'OPENING STOCK'!J56</f>
        <v>0</v>
      </c>
      <c r="K56" s="123">
        <f>'OPENING STOCK'!K56+RECIEPTS!G56</f>
        <v>0</v>
      </c>
      <c r="L56" s="124">
        <f>'OPENING STOCK'!L56</f>
        <v>0</v>
      </c>
    </row>
    <row r="57" spans="1:12" ht="22.95" customHeight="1" x14ac:dyDescent="0.3">
      <c r="A57" s="3">
        <v>4</v>
      </c>
      <c r="B57" s="40" t="str">
        <f>'SALES &amp; RATE'!B57</f>
        <v>MUSCOVY VODKA</v>
      </c>
      <c r="C57" s="123">
        <f>'OPENING STOCK'!C57+RECIEPTS!C57</f>
        <v>0</v>
      </c>
      <c r="D57" s="124">
        <f>'OPENING STOCK'!D57</f>
        <v>0</v>
      </c>
      <c r="E57" s="125">
        <f>'OPENING STOCK'!E57+RECIEPTS!D57</f>
        <v>0</v>
      </c>
      <c r="F57" s="126">
        <f>'OPENING STOCK'!F57</f>
        <v>0</v>
      </c>
      <c r="G57" s="123">
        <f>'OPENING STOCK'!G57+RECIEPTS!E57</f>
        <v>4</v>
      </c>
      <c r="H57" s="124">
        <f>'OPENING STOCK'!H57</f>
        <v>89</v>
      </c>
      <c r="I57" s="125">
        <f>'OPENING STOCK'!I57+RECIEPTS!F57</f>
        <v>1</v>
      </c>
      <c r="J57" s="126">
        <f>'OPENING STOCK'!J57</f>
        <v>95</v>
      </c>
      <c r="K57" s="123">
        <f>'OPENING STOCK'!K57+RECIEPTS!G57</f>
        <v>0</v>
      </c>
      <c r="L57" s="124">
        <f>'OPENING STOCK'!L57</f>
        <v>0</v>
      </c>
    </row>
    <row r="58" spans="1:12" ht="22.95" customHeight="1" x14ac:dyDescent="0.3">
      <c r="A58" s="3">
        <v>5</v>
      </c>
      <c r="B58" s="40" t="str">
        <f>'SALES &amp; RATE'!B58</f>
        <v>ROMANOV VODKA</v>
      </c>
      <c r="C58" s="123">
        <f>'OPENING STOCK'!C58+RECIEPTS!C58</f>
        <v>0</v>
      </c>
      <c r="D58" s="124">
        <f>'OPENING STOCK'!D58</f>
        <v>0</v>
      </c>
      <c r="E58" s="125">
        <f>'OPENING STOCK'!E58+RECIEPTS!D58</f>
        <v>0</v>
      </c>
      <c r="F58" s="126">
        <f>'OPENING STOCK'!F58</f>
        <v>0</v>
      </c>
      <c r="G58" s="123">
        <f>'OPENING STOCK'!G58+RECIEPTS!E58</f>
        <v>1</v>
      </c>
      <c r="H58" s="124">
        <f>'OPENING STOCK'!H58</f>
        <v>56</v>
      </c>
      <c r="I58" s="125">
        <f>'OPENING STOCK'!I58+RECIEPTS!F58</f>
        <v>1</v>
      </c>
      <c r="J58" s="126">
        <f>'OPENING STOCK'!J58</f>
        <v>96</v>
      </c>
      <c r="K58" s="123">
        <f>'OPENING STOCK'!K58+RECIEPTS!G58</f>
        <v>0</v>
      </c>
      <c r="L58" s="124">
        <f>'OPENING STOCK'!L58</f>
        <v>0</v>
      </c>
    </row>
    <row r="59" spans="1:12" ht="22.95" customHeight="1" x14ac:dyDescent="0.3">
      <c r="A59" s="3">
        <v>6</v>
      </c>
      <c r="B59" s="40" t="str">
        <f>'SALES &amp; RATE'!B59</f>
        <v>GONAS WINE</v>
      </c>
      <c r="C59" s="123">
        <f>'OPENING STOCK'!C59+RECIEPTS!C59</f>
        <v>0</v>
      </c>
      <c r="D59" s="124">
        <f>'OPENING STOCK'!D59</f>
        <v>0</v>
      </c>
      <c r="E59" s="125">
        <f>'OPENING STOCK'!E59+RECIEPTS!D59</f>
        <v>0</v>
      </c>
      <c r="F59" s="126">
        <f>'OPENING STOCK'!F59</f>
        <v>0</v>
      </c>
      <c r="G59" s="123">
        <f>'OPENING STOCK'!G59+RECIEPTS!E59</f>
        <v>0</v>
      </c>
      <c r="H59" s="124">
        <f>'OPENING STOCK'!H59</f>
        <v>39</v>
      </c>
      <c r="I59" s="125">
        <f>'OPENING STOCK'!I59+RECIEPTS!F59</f>
        <v>0</v>
      </c>
      <c r="J59" s="126">
        <f>'OPENING STOCK'!J59</f>
        <v>0</v>
      </c>
      <c r="K59" s="123">
        <f>'OPENING STOCK'!K59+RECIEPTS!G59</f>
        <v>0</v>
      </c>
      <c r="L59" s="124">
        <f>'OPENING STOCK'!L59</f>
        <v>0</v>
      </c>
    </row>
    <row r="60" spans="1:12" ht="22.95" customHeight="1" x14ac:dyDescent="0.3">
      <c r="A60" s="3">
        <v>7</v>
      </c>
      <c r="B60" s="40" t="str">
        <f>'SALES &amp; RATE'!B60</f>
        <v>MAGIC PORT WINE</v>
      </c>
      <c r="C60" s="123">
        <f>'OPENING STOCK'!C60+RECIEPTS!C60</f>
        <v>0</v>
      </c>
      <c r="D60" s="124">
        <f>'OPENING STOCK'!D60</f>
        <v>20</v>
      </c>
      <c r="E60" s="125">
        <f>'OPENING STOCK'!E60+RECIEPTS!D60</f>
        <v>0</v>
      </c>
      <c r="F60" s="126">
        <f>'OPENING STOCK'!F60</f>
        <v>24</v>
      </c>
      <c r="G60" s="123">
        <f>'OPENING STOCK'!G60+RECIEPTS!E60</f>
        <v>0</v>
      </c>
      <c r="H60" s="124">
        <f>'OPENING STOCK'!H60</f>
        <v>12</v>
      </c>
      <c r="I60" s="125">
        <f>'OPENING STOCK'!I60+RECIEPTS!F60</f>
        <v>0</v>
      </c>
      <c r="J60" s="126">
        <f>'OPENING STOCK'!J60</f>
        <v>0</v>
      </c>
      <c r="K60" s="123">
        <f>'OPENING STOCK'!K60+RECIEPTS!G60</f>
        <v>0</v>
      </c>
      <c r="L60" s="124">
        <f>'OPENING STOCK'!L60</f>
        <v>0</v>
      </c>
    </row>
    <row r="61" spans="1:12" ht="22.95" customHeight="1" x14ac:dyDescent="0.3">
      <c r="A61" s="3">
        <v>8</v>
      </c>
      <c r="B61" s="40" t="str">
        <f>'SALES &amp; RATE'!B61</f>
        <v>SIDDUS WINE</v>
      </c>
      <c r="C61" s="123">
        <f>'OPENING STOCK'!C61+RECIEPTS!C61</f>
        <v>0</v>
      </c>
      <c r="D61" s="124">
        <f>'OPENING STOCK'!D61</f>
        <v>1</v>
      </c>
      <c r="E61" s="125">
        <f>'OPENING STOCK'!E61+RECIEPTS!D61</f>
        <v>0</v>
      </c>
      <c r="F61" s="126">
        <f>'OPENING STOCK'!F61</f>
        <v>1</v>
      </c>
      <c r="G61" s="123">
        <f>'OPENING STOCK'!G61+RECIEPTS!E61</f>
        <v>0</v>
      </c>
      <c r="H61" s="124">
        <f>'OPENING STOCK'!H61</f>
        <v>34</v>
      </c>
      <c r="I61" s="125">
        <f>'OPENING STOCK'!I61+RECIEPTS!F61</f>
        <v>0</v>
      </c>
      <c r="J61" s="126">
        <f>'OPENING STOCK'!J61</f>
        <v>0</v>
      </c>
      <c r="K61" s="123">
        <f>'OPENING STOCK'!K61+RECIEPTS!G61</f>
        <v>0</v>
      </c>
      <c r="L61" s="124">
        <f>'OPENING STOCK'!L61</f>
        <v>0</v>
      </c>
    </row>
    <row r="62" spans="1:12" ht="22.95" customHeight="1" x14ac:dyDescent="0.3">
      <c r="A62" s="3">
        <v>9</v>
      </c>
      <c r="B62" s="40" t="str">
        <f>'SALES &amp; RATE'!B62</f>
        <v>VEGA WINE</v>
      </c>
      <c r="C62" s="123">
        <f>'OPENING STOCK'!C62+RECIEPTS!C62</f>
        <v>0</v>
      </c>
      <c r="D62" s="124">
        <f>'OPENING STOCK'!D62</f>
        <v>0</v>
      </c>
      <c r="E62" s="125">
        <f>'OPENING STOCK'!E62+RECIEPTS!D62</f>
        <v>0</v>
      </c>
      <c r="F62" s="126">
        <f>'OPENING STOCK'!F62</f>
        <v>13</v>
      </c>
      <c r="G62" s="123">
        <f>'OPENING STOCK'!G62+RECIEPTS!E62</f>
        <v>0</v>
      </c>
      <c r="H62" s="124">
        <f>'OPENING STOCK'!H62</f>
        <v>0</v>
      </c>
      <c r="I62" s="125">
        <f>'OPENING STOCK'!I62+RECIEPTS!F62</f>
        <v>0</v>
      </c>
      <c r="J62" s="126">
        <f>'OPENING STOCK'!J62</f>
        <v>0</v>
      </c>
      <c r="K62" s="123">
        <f>'OPENING STOCK'!K62+RECIEPTS!G62</f>
        <v>0</v>
      </c>
      <c r="L62" s="124">
        <f>'OPENING STOCK'!L62</f>
        <v>0</v>
      </c>
    </row>
    <row r="63" spans="1:12" ht="22.95" customHeight="1" x14ac:dyDescent="0.3">
      <c r="A63" s="3">
        <v>10</v>
      </c>
      <c r="B63" s="40">
        <f>'SALES &amp; RATE'!B63</f>
        <v>0</v>
      </c>
      <c r="C63" s="123">
        <f>'OPENING STOCK'!C63+RECIEPTS!C63</f>
        <v>0</v>
      </c>
      <c r="D63" s="124">
        <f>'OPENING STOCK'!D63</f>
        <v>0</v>
      </c>
      <c r="E63" s="125">
        <f>'OPENING STOCK'!E63+RECIEPTS!D63</f>
        <v>0</v>
      </c>
      <c r="F63" s="126">
        <f>'OPENING STOCK'!F63</f>
        <v>0</v>
      </c>
      <c r="G63" s="123">
        <f>'OPENING STOCK'!G63+RECIEPTS!E63</f>
        <v>0</v>
      </c>
      <c r="H63" s="124">
        <f>'OPENING STOCK'!H63</f>
        <v>0</v>
      </c>
      <c r="I63" s="125">
        <f>'OPENING STOCK'!I63+RECIEPTS!F63</f>
        <v>0</v>
      </c>
      <c r="J63" s="126">
        <f>'OPENING STOCK'!J63</f>
        <v>0</v>
      </c>
      <c r="K63" s="123">
        <f>'OPENING STOCK'!K63+RECIEPTS!G63</f>
        <v>0</v>
      </c>
      <c r="L63" s="124">
        <f>'OPENING STOCK'!L63</f>
        <v>0</v>
      </c>
    </row>
    <row r="64" spans="1:12" ht="22.95" customHeight="1" x14ac:dyDescent="0.3">
      <c r="A64" s="3">
        <v>11</v>
      </c>
      <c r="B64" s="40" t="str">
        <f>'SALES &amp; RATE'!B64</f>
        <v>MAGIC MOMENTS</v>
      </c>
      <c r="C64" s="123">
        <f>'OPENING STOCK'!C64+RECIEPTS!C64</f>
        <v>0</v>
      </c>
      <c r="D64" s="124">
        <f>'OPENING STOCK'!D64</f>
        <v>2</v>
      </c>
      <c r="E64" s="125">
        <f>'OPENING STOCK'!E64+RECIEPTS!D64</f>
        <v>0</v>
      </c>
      <c r="F64" s="126">
        <f>'OPENING STOCK'!F64</f>
        <v>0</v>
      </c>
      <c r="G64" s="123">
        <f>'OPENING STOCK'!G64+RECIEPTS!E64</f>
        <v>1</v>
      </c>
      <c r="H64" s="124">
        <f>'OPENING STOCK'!H64</f>
        <v>0</v>
      </c>
      <c r="I64" s="125">
        <f>'OPENING STOCK'!I64+RECIEPTS!F64</f>
        <v>0</v>
      </c>
      <c r="J64" s="126">
        <f>'OPENING STOCK'!J64</f>
        <v>0</v>
      </c>
      <c r="K64" s="123">
        <f>'OPENING STOCK'!K64+RECIEPTS!G64</f>
        <v>1</v>
      </c>
      <c r="L64" s="124">
        <f>'OPENING STOCK'!L64</f>
        <v>6</v>
      </c>
    </row>
    <row r="65" spans="1:12" ht="22.95" customHeight="1" x14ac:dyDescent="0.3">
      <c r="A65" s="3">
        <v>12</v>
      </c>
      <c r="B65" s="40" t="str">
        <f>'SALES &amp; RATE'!B65</f>
        <v>BRO CODE</v>
      </c>
      <c r="C65" s="123">
        <f>'OPENING STOCK'!C65+RECIEPTS!C65</f>
        <v>0</v>
      </c>
      <c r="D65" s="124">
        <f>'OPENING STOCK'!D65</f>
        <v>0</v>
      </c>
      <c r="E65" s="125">
        <f>'OPENING STOCK'!E65+RECIEPTS!D65</f>
        <v>0</v>
      </c>
      <c r="F65" s="126">
        <f>'OPENING STOCK'!F65</f>
        <v>26</v>
      </c>
      <c r="G65" s="123">
        <f>'OPENING STOCK'!G65+RECIEPTS!E65</f>
        <v>0</v>
      </c>
      <c r="H65" s="124">
        <f>'OPENING STOCK'!H65</f>
        <v>0</v>
      </c>
      <c r="I65" s="125">
        <f>'OPENING STOCK'!I65+RECIEPTS!F65</f>
        <v>0</v>
      </c>
      <c r="J65" s="126">
        <f>'OPENING STOCK'!J65</f>
        <v>0</v>
      </c>
      <c r="K65" s="123">
        <f>'OPENING STOCK'!K65+RECIEPTS!G65</f>
        <v>0</v>
      </c>
      <c r="L65" s="124">
        <f>'OPENING STOCK'!L65</f>
        <v>0</v>
      </c>
    </row>
    <row r="66" spans="1:12" ht="22.95" customHeight="1" x14ac:dyDescent="0.3">
      <c r="A66" s="3">
        <v>13</v>
      </c>
      <c r="B66" s="40" t="str">
        <f>'SALES &amp; RATE'!B66</f>
        <v>TANGO RED WINE</v>
      </c>
      <c r="C66" s="123">
        <f>'OPENING STOCK'!C66+RECIEPTS!C66</f>
        <v>0</v>
      </c>
      <c r="D66" s="124">
        <f>'OPENING STOCK'!D66</f>
        <v>0</v>
      </c>
      <c r="E66" s="125">
        <f>'OPENING STOCK'!E66+RECIEPTS!D66</f>
        <v>0</v>
      </c>
      <c r="F66" s="126">
        <f>'OPENING STOCK'!F66</f>
        <v>0</v>
      </c>
      <c r="G66" s="123">
        <f>'OPENING STOCK'!G66+RECIEPTS!E66</f>
        <v>0</v>
      </c>
      <c r="H66" s="124">
        <f>'OPENING STOCK'!H66</f>
        <v>0</v>
      </c>
      <c r="I66" s="125">
        <f>'OPENING STOCK'!I66+RECIEPTS!F66</f>
        <v>0</v>
      </c>
      <c r="J66" s="126">
        <f>'OPENING STOCK'!J66</f>
        <v>0</v>
      </c>
      <c r="K66" s="123">
        <f>'OPENING STOCK'!K66+RECIEPTS!G66</f>
        <v>0</v>
      </c>
      <c r="L66" s="124">
        <f>'OPENING STOCK'!L66</f>
        <v>0</v>
      </c>
    </row>
    <row r="67" spans="1:12" ht="22.95" customHeight="1" x14ac:dyDescent="0.3">
      <c r="A67" s="3">
        <v>14</v>
      </c>
      <c r="B67" s="40" t="str">
        <f>'SALES &amp; RATE'!B67</f>
        <v>BUZZ BALL</v>
      </c>
      <c r="C67" s="123">
        <f>'OPENING STOCK'!C67+RECIEPTS!C67</f>
        <v>0</v>
      </c>
      <c r="D67" s="124">
        <f>'OPENING STOCK'!D67</f>
        <v>0</v>
      </c>
      <c r="E67" s="125">
        <f>'OPENING STOCK'!E67+RECIEPTS!D67</f>
        <v>0</v>
      </c>
      <c r="F67" s="126">
        <f>'OPENING STOCK'!F67</f>
        <v>0</v>
      </c>
      <c r="G67" s="123">
        <f>'OPENING STOCK'!G67+RECIEPTS!E67</f>
        <v>1</v>
      </c>
      <c r="H67" s="124">
        <f>'OPENING STOCK'!H67</f>
        <v>0</v>
      </c>
      <c r="I67" s="125">
        <f>'OPENING STOCK'!I67+RECIEPTS!F67</f>
        <v>0</v>
      </c>
      <c r="J67" s="126">
        <f>'OPENING STOCK'!J67</f>
        <v>0</v>
      </c>
      <c r="K67" s="123">
        <f>'OPENING STOCK'!K67+RECIEPTS!G67</f>
        <v>0</v>
      </c>
      <c r="L67" s="124">
        <f>'OPENING STOCK'!L67</f>
        <v>0</v>
      </c>
    </row>
    <row r="68" spans="1:12" ht="22.95" customHeight="1" x14ac:dyDescent="0.3">
      <c r="A68" s="3">
        <v>15</v>
      </c>
      <c r="B68" s="40">
        <f>'SALES &amp; RATE'!B68</f>
        <v>0</v>
      </c>
      <c r="C68" s="123">
        <f>'OPENING STOCK'!C68+RECIEPTS!C68</f>
        <v>0</v>
      </c>
      <c r="D68" s="124">
        <f>'OPENING STOCK'!D68</f>
        <v>0</v>
      </c>
      <c r="E68" s="125">
        <f>'OPENING STOCK'!E68+RECIEPTS!D68</f>
        <v>0</v>
      </c>
      <c r="F68" s="126">
        <f>'OPENING STOCK'!F68</f>
        <v>0</v>
      </c>
      <c r="G68" s="123">
        <f>'OPENING STOCK'!G68+RECIEPTS!E68</f>
        <v>0</v>
      </c>
      <c r="H68" s="124">
        <f>'OPENING STOCK'!H68</f>
        <v>0</v>
      </c>
      <c r="I68" s="125">
        <f>'OPENING STOCK'!I68+RECIEPTS!F68</f>
        <v>0</v>
      </c>
      <c r="J68" s="126">
        <f>'OPENING STOCK'!J68</f>
        <v>0</v>
      </c>
      <c r="K68" s="123">
        <f>'OPENING STOCK'!K68+RECIEPTS!G68</f>
        <v>0</v>
      </c>
      <c r="L68" s="124">
        <f>'OPENING STOCK'!L68</f>
        <v>0</v>
      </c>
    </row>
    <row r="69" spans="1:12" ht="22.95" customHeight="1" x14ac:dyDescent="0.3">
      <c r="A69" s="3">
        <v>16</v>
      </c>
      <c r="B69" s="40">
        <f>'SALES &amp; RATE'!B69</f>
        <v>0</v>
      </c>
      <c r="C69" s="123">
        <f>'OPENING STOCK'!C69+RECIEPTS!C69</f>
        <v>0</v>
      </c>
      <c r="D69" s="124">
        <f>'OPENING STOCK'!D69</f>
        <v>0</v>
      </c>
      <c r="E69" s="125">
        <f>'OPENING STOCK'!E69+RECIEPTS!D69</f>
        <v>0</v>
      </c>
      <c r="F69" s="126">
        <f>'OPENING STOCK'!F69</f>
        <v>0</v>
      </c>
      <c r="G69" s="123">
        <f>'OPENING STOCK'!G69+RECIEPTS!E69</f>
        <v>0</v>
      </c>
      <c r="H69" s="124">
        <f>'OPENING STOCK'!H69</f>
        <v>0</v>
      </c>
      <c r="I69" s="125">
        <f>'OPENING STOCK'!I69+RECIEPTS!F69</f>
        <v>0</v>
      </c>
      <c r="J69" s="126">
        <f>'OPENING STOCK'!J69</f>
        <v>0</v>
      </c>
      <c r="K69" s="123">
        <f>'OPENING STOCK'!K69+RECIEPTS!G69</f>
        <v>0</v>
      </c>
      <c r="L69" s="124">
        <f>'OPENING STOCK'!L69</f>
        <v>0</v>
      </c>
    </row>
    <row r="70" spans="1:12" ht="22.95" customHeight="1" x14ac:dyDescent="0.3">
      <c r="A70" s="3">
        <v>17</v>
      </c>
      <c r="B70" s="40">
        <f>'SALES &amp; RATE'!B70</f>
        <v>0</v>
      </c>
      <c r="C70" s="123">
        <f>'OPENING STOCK'!C70+RECIEPTS!C70</f>
        <v>0</v>
      </c>
      <c r="D70" s="124">
        <f>'OPENING STOCK'!D70</f>
        <v>0</v>
      </c>
      <c r="E70" s="125">
        <f>'OPENING STOCK'!E70+RECIEPTS!D70</f>
        <v>0</v>
      </c>
      <c r="F70" s="126">
        <f>'OPENING STOCK'!F70</f>
        <v>0</v>
      </c>
      <c r="G70" s="123">
        <f>'OPENING STOCK'!G70+RECIEPTS!E70</f>
        <v>0</v>
      </c>
      <c r="H70" s="124">
        <f>'OPENING STOCK'!H70</f>
        <v>0</v>
      </c>
      <c r="I70" s="125">
        <f>'OPENING STOCK'!I70+RECIEPTS!F70</f>
        <v>0</v>
      </c>
      <c r="J70" s="126">
        <f>'OPENING STOCK'!J70</f>
        <v>0</v>
      </c>
      <c r="K70" s="123">
        <f>'OPENING STOCK'!K70+RECIEPTS!G70</f>
        <v>0</v>
      </c>
      <c r="L70" s="124">
        <f>'OPENING STOCK'!L70</f>
        <v>0</v>
      </c>
    </row>
    <row r="71" spans="1:12" ht="22.95" customHeight="1" thickBot="1" x14ac:dyDescent="0.35">
      <c r="A71" s="41">
        <v>18</v>
      </c>
      <c r="B71" s="40">
        <f>'SALES &amp; RATE'!B71</f>
        <v>0</v>
      </c>
      <c r="C71" s="123">
        <f>'OPENING STOCK'!C71+RECIEPTS!C71</f>
        <v>0</v>
      </c>
      <c r="D71" s="124">
        <f>'OPENING STOCK'!D71</f>
        <v>0</v>
      </c>
      <c r="E71" s="125">
        <f>'OPENING STOCK'!E71+RECIEPTS!D71</f>
        <v>0</v>
      </c>
      <c r="F71" s="126">
        <f>'OPENING STOCK'!F71</f>
        <v>0</v>
      </c>
      <c r="G71" s="123">
        <f>'OPENING STOCK'!G71+RECIEPTS!E71</f>
        <v>0</v>
      </c>
      <c r="H71" s="124">
        <f>'OPENING STOCK'!H71</f>
        <v>0</v>
      </c>
      <c r="I71" s="125">
        <f>'OPENING STOCK'!I71+RECIEPTS!F71</f>
        <v>0</v>
      </c>
      <c r="J71" s="126">
        <f>'OPENING STOCK'!J71</f>
        <v>0</v>
      </c>
      <c r="K71" s="123">
        <f>'OPENING STOCK'!K71+RECIEPTS!G71</f>
        <v>0</v>
      </c>
      <c r="L71" s="124">
        <f>'OPENING STOCK'!L71</f>
        <v>0</v>
      </c>
    </row>
    <row r="72" spans="1:12" ht="22.95" customHeight="1" thickBot="1" x14ac:dyDescent="0.35">
      <c r="A72" s="307" t="s">
        <v>14</v>
      </c>
      <c r="B72" s="314"/>
      <c r="C72" s="317" t="s">
        <v>80</v>
      </c>
      <c r="D72" s="318"/>
      <c r="E72" s="318"/>
      <c r="F72" s="318"/>
      <c r="G72" s="318"/>
      <c r="H72" s="318"/>
      <c r="I72" s="318"/>
      <c r="J72" s="318"/>
      <c r="K72" s="318"/>
      <c r="L72" s="319"/>
    </row>
    <row r="73" spans="1:12" ht="22.95" customHeight="1" x14ac:dyDescent="0.3">
      <c r="A73" s="315"/>
      <c r="B73" s="316"/>
      <c r="C73" s="224" t="s">
        <v>15</v>
      </c>
      <c r="D73" s="226"/>
      <c r="E73" s="227" t="s">
        <v>68</v>
      </c>
      <c r="F73" s="225"/>
      <c r="G73" s="224" t="s">
        <v>16</v>
      </c>
      <c r="H73" s="226"/>
      <c r="I73" s="227" t="s">
        <v>69</v>
      </c>
      <c r="J73" s="226"/>
      <c r="K73" s="47"/>
      <c r="L73" s="48"/>
    </row>
    <row r="74" spans="1:12" ht="22.95" customHeight="1" thickBot="1" x14ac:dyDescent="0.35">
      <c r="A74" s="37" t="s">
        <v>9</v>
      </c>
      <c r="B74" s="38" t="s">
        <v>13</v>
      </c>
      <c r="C74" s="5" t="s">
        <v>2</v>
      </c>
      <c r="D74" s="6" t="s">
        <v>3</v>
      </c>
      <c r="E74" s="7" t="s">
        <v>10</v>
      </c>
      <c r="F74" s="8" t="s">
        <v>3</v>
      </c>
      <c r="G74" s="5" t="s">
        <v>10</v>
      </c>
      <c r="H74" s="6" t="s">
        <v>3</v>
      </c>
      <c r="I74" s="7" t="s">
        <v>10</v>
      </c>
      <c r="J74" s="6" t="s">
        <v>3</v>
      </c>
      <c r="K74" s="52"/>
      <c r="L74" s="53"/>
    </row>
    <row r="75" spans="1:12" ht="22.95" customHeight="1" x14ac:dyDescent="0.3">
      <c r="A75" s="3">
        <v>1</v>
      </c>
      <c r="B75" s="40" t="str">
        <f>'SALES &amp; RATE'!B75</f>
        <v>K.F PREMIUM</v>
      </c>
      <c r="C75" s="123">
        <f>'OPENING STOCK'!C75+RECIEPTS!C75</f>
        <v>1</v>
      </c>
      <c r="D75" s="124">
        <f>'OPENING STOCK'!D75</f>
        <v>15</v>
      </c>
      <c r="E75" s="125">
        <f>'OPENING STOCK'!E75+RECIEPTS!D75</f>
        <v>0</v>
      </c>
      <c r="F75" s="126">
        <f>'OPENING STOCK'!F75</f>
        <v>0</v>
      </c>
      <c r="G75" s="123">
        <f>'OPENING STOCK'!G75+RECIEPTS!E75</f>
        <v>0</v>
      </c>
      <c r="H75" s="124">
        <f>'OPENING STOCK'!H75</f>
        <v>0</v>
      </c>
      <c r="I75" s="125">
        <f>'OPENING STOCK'!I75+RECIEPTS!F75</f>
        <v>0</v>
      </c>
      <c r="J75" s="126">
        <f>'OPENING STOCK'!J75</f>
        <v>0</v>
      </c>
      <c r="K75" s="127"/>
      <c r="L75" s="128"/>
    </row>
    <row r="76" spans="1:12" ht="22.95" customHeight="1" x14ac:dyDescent="0.3">
      <c r="A76" s="3">
        <v>2</v>
      </c>
      <c r="B76" s="40" t="str">
        <f>'SALES &amp; RATE'!B76</f>
        <v>K.F STRONG</v>
      </c>
      <c r="C76" s="123">
        <f>'OPENING STOCK'!C76+RECIEPTS!C76</f>
        <v>97</v>
      </c>
      <c r="D76" s="124">
        <f>'OPENING STOCK'!D76</f>
        <v>32</v>
      </c>
      <c r="E76" s="125">
        <f>'OPENING STOCK'!E76+RECIEPTS!D76</f>
        <v>2</v>
      </c>
      <c r="F76" s="126">
        <f>'OPENING STOCK'!F76</f>
        <v>1</v>
      </c>
      <c r="G76" s="123">
        <f>'OPENING STOCK'!G76+RECIEPTS!E76</f>
        <v>3</v>
      </c>
      <c r="H76" s="124">
        <f>'OPENING STOCK'!H76</f>
        <v>0</v>
      </c>
      <c r="I76" s="125">
        <f>'OPENING STOCK'!I76+RECIEPTS!F76</f>
        <v>1</v>
      </c>
      <c r="J76" s="126">
        <f>'OPENING STOCK'!J76</f>
        <v>0</v>
      </c>
      <c r="K76" s="129"/>
      <c r="L76" s="130"/>
    </row>
    <row r="77" spans="1:12" ht="22.95" customHeight="1" x14ac:dyDescent="0.3">
      <c r="A77" s="3">
        <v>3</v>
      </c>
      <c r="B77" s="40" t="str">
        <f>'SALES &amp; RATE'!B77</f>
        <v>U.B EXPORT</v>
      </c>
      <c r="C77" s="123">
        <f>'OPENING STOCK'!C77+RECIEPTS!C77</f>
        <v>1</v>
      </c>
      <c r="D77" s="124">
        <f>'OPENING STOCK'!D77</f>
        <v>28</v>
      </c>
      <c r="E77" s="125">
        <f>'OPENING STOCK'!E77+RECIEPTS!D77</f>
        <v>0</v>
      </c>
      <c r="F77" s="126">
        <f>'OPENING STOCK'!F77</f>
        <v>0</v>
      </c>
      <c r="G77" s="123">
        <f>'OPENING STOCK'!G77+RECIEPTS!E77</f>
        <v>0</v>
      </c>
      <c r="H77" s="124">
        <f>'OPENING STOCK'!H77</f>
        <v>0</v>
      </c>
      <c r="I77" s="125">
        <f>'OPENING STOCK'!I77+RECIEPTS!F77</f>
        <v>0</v>
      </c>
      <c r="J77" s="126">
        <f>'OPENING STOCK'!J77</f>
        <v>0</v>
      </c>
      <c r="K77" s="129"/>
      <c r="L77" s="130"/>
    </row>
    <row r="78" spans="1:12" ht="22.95" customHeight="1" x14ac:dyDescent="0.3">
      <c r="A78" s="3">
        <v>4</v>
      </c>
      <c r="B78" s="40" t="str">
        <f>'SALES &amp; RATE'!B78</f>
        <v>KNOCK OUT</v>
      </c>
      <c r="C78" s="123">
        <f>'OPENING STOCK'!C78+RECIEPTS!C78</f>
        <v>5</v>
      </c>
      <c r="D78" s="124">
        <f>'OPENING STOCK'!D78</f>
        <v>0</v>
      </c>
      <c r="E78" s="125">
        <f>'OPENING STOCK'!E78+RECIEPTS!D78</f>
        <v>0</v>
      </c>
      <c r="F78" s="126">
        <f>'OPENING STOCK'!F78</f>
        <v>0</v>
      </c>
      <c r="G78" s="123">
        <f>'OPENING STOCK'!G78+RECIEPTS!E78</f>
        <v>1</v>
      </c>
      <c r="H78" s="124">
        <f>'OPENING STOCK'!H78</f>
        <v>10</v>
      </c>
      <c r="I78" s="125">
        <f>'OPENING STOCK'!I78+RECIEPTS!F78</f>
        <v>0</v>
      </c>
      <c r="J78" s="126">
        <f>'OPENING STOCK'!J78</f>
        <v>0</v>
      </c>
      <c r="K78" s="129"/>
      <c r="L78" s="130"/>
    </row>
    <row r="79" spans="1:12" ht="22.95" customHeight="1" x14ac:dyDescent="0.3">
      <c r="A79" s="3">
        <v>5</v>
      </c>
      <c r="B79" s="40" t="str">
        <f>'SALES &amp; RATE'!B79</f>
        <v>K.F STROM</v>
      </c>
      <c r="C79" s="123">
        <f>'OPENING STOCK'!C79+RECIEPTS!C79</f>
        <v>0</v>
      </c>
      <c r="D79" s="124">
        <f>'OPENING STOCK'!D79</f>
        <v>0</v>
      </c>
      <c r="E79" s="125">
        <f>'OPENING STOCK'!E79+RECIEPTS!D79</f>
        <v>0</v>
      </c>
      <c r="F79" s="126">
        <f>'OPENING STOCK'!F79</f>
        <v>0</v>
      </c>
      <c r="G79" s="123">
        <f>'OPENING STOCK'!G79+RECIEPTS!E79</f>
        <v>0</v>
      </c>
      <c r="H79" s="124">
        <f>'OPENING STOCK'!H79</f>
        <v>0</v>
      </c>
      <c r="I79" s="125">
        <f>'OPENING STOCK'!I79+RECIEPTS!F79</f>
        <v>0</v>
      </c>
      <c r="J79" s="126">
        <f>'OPENING STOCK'!J79</f>
        <v>0</v>
      </c>
      <c r="K79" s="129"/>
      <c r="L79" s="130"/>
    </row>
    <row r="80" spans="1:12" ht="22.95" customHeight="1" x14ac:dyDescent="0.3">
      <c r="A80" s="3">
        <v>6</v>
      </c>
      <c r="B80" s="40" t="str">
        <f>'SALES &amp; RATE'!B80</f>
        <v>BUDWISER MAGNUM</v>
      </c>
      <c r="C80" s="123">
        <f>'OPENING STOCK'!C80+RECIEPTS!C80</f>
        <v>28</v>
      </c>
      <c r="D80" s="124">
        <f>'OPENING STOCK'!D80</f>
        <v>39</v>
      </c>
      <c r="E80" s="125">
        <f>'OPENING STOCK'!E80+RECIEPTS!D80</f>
        <v>0</v>
      </c>
      <c r="F80" s="126">
        <f>'OPENING STOCK'!F80</f>
        <v>34</v>
      </c>
      <c r="G80" s="123">
        <f>'OPENING STOCK'!G80+RECIEPTS!E80</f>
        <v>0</v>
      </c>
      <c r="H80" s="124">
        <f>'OPENING STOCK'!H80</f>
        <v>0</v>
      </c>
      <c r="I80" s="125">
        <f>'OPENING STOCK'!I80+RECIEPTS!F80</f>
        <v>0</v>
      </c>
      <c r="J80" s="126">
        <f>'OPENING STOCK'!J80</f>
        <v>0</v>
      </c>
      <c r="K80" s="129"/>
      <c r="L80" s="130"/>
    </row>
    <row r="81" spans="1:12" ht="22.95" customHeight="1" x14ac:dyDescent="0.3">
      <c r="A81" s="3">
        <v>7</v>
      </c>
      <c r="B81" s="40" t="str">
        <f>'SALES &amp; RATE'!B81</f>
        <v>BUDWISER PREM</v>
      </c>
      <c r="C81" s="123">
        <f>'OPENING STOCK'!C81+RECIEPTS!C81</f>
        <v>3</v>
      </c>
      <c r="D81" s="124">
        <f>'OPENING STOCK'!D81</f>
        <v>2</v>
      </c>
      <c r="E81" s="125">
        <f>'OPENING STOCK'!E81+RECIEPTS!D81</f>
        <v>0</v>
      </c>
      <c r="F81" s="126">
        <f>'OPENING STOCK'!F81</f>
        <v>24</v>
      </c>
      <c r="G81" s="123">
        <f>'OPENING STOCK'!G81+RECIEPTS!E81</f>
        <v>0</v>
      </c>
      <c r="H81" s="124">
        <f>'OPENING STOCK'!H81</f>
        <v>0</v>
      </c>
      <c r="I81" s="125">
        <f>'OPENING STOCK'!I81+RECIEPTS!F81</f>
        <v>0</v>
      </c>
      <c r="J81" s="126">
        <f>'OPENING STOCK'!J81</f>
        <v>0</v>
      </c>
      <c r="K81" s="129"/>
      <c r="L81" s="130"/>
    </row>
    <row r="82" spans="1:12" ht="22.95" customHeight="1" x14ac:dyDescent="0.3">
      <c r="A82" s="3">
        <v>8</v>
      </c>
      <c r="B82" s="40" t="str">
        <f>'SALES &amp; RATE'!B82</f>
        <v>K.F ULTRA/ WITT BEER</v>
      </c>
      <c r="C82" s="123">
        <f>'OPENING STOCK'!C82+RECIEPTS!C82</f>
        <v>0</v>
      </c>
      <c r="D82" s="124">
        <f>'OPENING STOCK'!D82</f>
        <v>22</v>
      </c>
      <c r="E82" s="125">
        <f>'OPENING STOCK'!E82+RECIEPTS!D82</f>
        <v>0</v>
      </c>
      <c r="F82" s="126">
        <f>'OPENING STOCK'!F82</f>
        <v>0</v>
      </c>
      <c r="G82" s="123">
        <f>'OPENING STOCK'!G82+RECIEPTS!E82</f>
        <v>0</v>
      </c>
      <c r="H82" s="124">
        <f>'OPENING STOCK'!H82</f>
        <v>0</v>
      </c>
      <c r="I82" s="125">
        <f>'OPENING STOCK'!I82+RECIEPTS!F82</f>
        <v>0</v>
      </c>
      <c r="J82" s="126">
        <f>'OPENING STOCK'!J82</f>
        <v>0</v>
      </c>
      <c r="K82" s="129"/>
      <c r="L82" s="130"/>
    </row>
    <row r="83" spans="1:12" ht="22.95" customHeight="1" x14ac:dyDescent="0.3">
      <c r="A83" s="3">
        <v>9</v>
      </c>
      <c r="B83" s="40" t="str">
        <f>'SALES &amp; RATE'!B83</f>
        <v>TOBURG STRONG BEER</v>
      </c>
      <c r="C83" s="123">
        <f>'OPENING STOCK'!C83+RECIEPTS!C83</f>
        <v>24</v>
      </c>
      <c r="D83" s="124">
        <f>'OPENING STOCK'!D83</f>
        <v>21</v>
      </c>
      <c r="E83" s="125">
        <f>'OPENING STOCK'!E83+RECIEPTS!D83</f>
        <v>1</v>
      </c>
      <c r="F83" s="126">
        <f>'OPENING STOCK'!F83</f>
        <v>14</v>
      </c>
      <c r="G83" s="123">
        <f>'OPENING STOCK'!G83+RECIEPTS!E83</f>
        <v>3</v>
      </c>
      <c r="H83" s="124">
        <f>'OPENING STOCK'!H83</f>
        <v>0</v>
      </c>
      <c r="I83" s="125">
        <f>'OPENING STOCK'!I83+RECIEPTS!F83</f>
        <v>0</v>
      </c>
      <c r="J83" s="126">
        <f>'OPENING STOCK'!J83</f>
        <v>0</v>
      </c>
      <c r="K83" s="129"/>
      <c r="L83" s="130"/>
    </row>
    <row r="84" spans="1:12" ht="22.95" customHeight="1" x14ac:dyDescent="0.3">
      <c r="A84" s="3">
        <v>10</v>
      </c>
      <c r="B84" s="40" t="str">
        <f>'SALES &amp; RATE'!B84</f>
        <v xml:space="preserve">POWERCOOL </v>
      </c>
      <c r="C84" s="123">
        <f>'OPENING STOCK'!C84+RECIEPTS!C84</f>
        <v>7</v>
      </c>
      <c r="D84" s="124">
        <f>'OPENING STOCK'!D84</f>
        <v>24</v>
      </c>
      <c r="E84" s="125">
        <f>'OPENING STOCK'!E84+RECIEPTS!D84</f>
        <v>0</v>
      </c>
      <c r="F84" s="126">
        <f>'OPENING STOCK'!F84</f>
        <v>22</v>
      </c>
      <c r="G84" s="123">
        <f>'OPENING STOCK'!G84+RECIEPTS!E84</f>
        <v>0</v>
      </c>
      <c r="H84" s="124">
        <f>'OPENING STOCK'!H84</f>
        <v>7</v>
      </c>
      <c r="I84" s="125">
        <f>'OPENING STOCK'!I84+RECIEPTS!F84</f>
        <v>0</v>
      </c>
      <c r="J84" s="126">
        <f>'OPENING STOCK'!J84</f>
        <v>0</v>
      </c>
      <c r="K84" s="129"/>
      <c r="L84" s="130"/>
    </row>
    <row r="85" spans="1:12" ht="22.95" customHeight="1" x14ac:dyDescent="0.3">
      <c r="A85" s="3">
        <v>11</v>
      </c>
      <c r="B85" s="40" t="str">
        <f>'SALES &amp; RATE'!B85</f>
        <v>BACARDI +</v>
      </c>
      <c r="C85" s="123">
        <f>'OPENING STOCK'!C85+RECIEPTS!C85</f>
        <v>0</v>
      </c>
      <c r="D85" s="124">
        <f>'OPENING STOCK'!D85</f>
        <v>0</v>
      </c>
      <c r="E85" s="125">
        <f>'OPENING STOCK'!E85+RECIEPTS!D85</f>
        <v>0</v>
      </c>
      <c r="F85" s="126">
        <f>'OPENING STOCK'!F85</f>
        <v>0</v>
      </c>
      <c r="G85" s="123">
        <f>'OPENING STOCK'!G85+RECIEPTS!E85</f>
        <v>3</v>
      </c>
      <c r="H85" s="124">
        <f>'OPENING STOCK'!H85</f>
        <v>27</v>
      </c>
      <c r="I85" s="125">
        <f>'OPENING STOCK'!I85+RECIEPTS!F85</f>
        <v>0</v>
      </c>
      <c r="J85" s="126">
        <f>'OPENING STOCK'!J85</f>
        <v>0</v>
      </c>
      <c r="K85" s="129"/>
      <c r="L85" s="130"/>
    </row>
    <row r="86" spans="1:12" ht="22.95" customHeight="1" x14ac:dyDescent="0.3">
      <c r="A86" s="3">
        <v>12</v>
      </c>
      <c r="B86" s="40" t="str">
        <f>'SALES &amp; RATE'!B86</f>
        <v>BACARDI BREEZER</v>
      </c>
      <c r="C86" s="123">
        <f>'OPENING STOCK'!C86+RECIEPTS!C86</f>
        <v>0</v>
      </c>
      <c r="D86" s="124">
        <f>'OPENING STOCK'!D86</f>
        <v>0</v>
      </c>
      <c r="E86" s="125">
        <f>'OPENING STOCK'!E86+RECIEPTS!D86</f>
        <v>0</v>
      </c>
      <c r="F86" s="126">
        <f>'OPENING STOCK'!F86</f>
        <v>0</v>
      </c>
      <c r="G86" s="123">
        <f>'OPENING STOCK'!G86+RECIEPTS!E86</f>
        <v>0</v>
      </c>
      <c r="H86" s="124">
        <f>'OPENING STOCK'!H86</f>
        <v>26</v>
      </c>
      <c r="I86" s="125">
        <f>'OPENING STOCK'!I86+RECIEPTS!F86</f>
        <v>0</v>
      </c>
      <c r="J86" s="126">
        <f>'OPENING STOCK'!J86</f>
        <v>0</v>
      </c>
      <c r="K86" s="129"/>
      <c r="L86" s="130"/>
    </row>
    <row r="87" spans="1:12" ht="22.95" customHeight="1" x14ac:dyDescent="0.3">
      <c r="A87" s="3">
        <v>13</v>
      </c>
      <c r="B87" s="40" t="str">
        <f>'SALES &amp; RATE'!B87</f>
        <v>RC / BULLET BEER</v>
      </c>
      <c r="C87" s="123">
        <f>'OPENING STOCK'!C87+RECIEPTS!C87</f>
        <v>6</v>
      </c>
      <c r="D87" s="124">
        <f>'OPENING STOCK'!D87</f>
        <v>17</v>
      </c>
      <c r="E87" s="125">
        <f>'OPENING STOCK'!E87+RECIEPTS!D87</f>
        <v>0</v>
      </c>
      <c r="F87" s="126">
        <f>'OPENING STOCK'!F87</f>
        <v>22</v>
      </c>
      <c r="G87" s="123">
        <f>'OPENING STOCK'!G87+RECIEPTS!E87</f>
        <v>0</v>
      </c>
      <c r="H87" s="124">
        <f>'OPENING STOCK'!H87</f>
        <v>0</v>
      </c>
      <c r="I87" s="125">
        <f>'OPENING STOCK'!I87+RECIEPTS!F87</f>
        <v>0</v>
      </c>
      <c r="J87" s="126">
        <f>'OPENING STOCK'!J87</f>
        <v>0</v>
      </c>
      <c r="K87" s="129"/>
      <c r="L87" s="130"/>
    </row>
    <row r="88" spans="1:12" ht="22.95" customHeight="1" x14ac:dyDescent="0.3">
      <c r="A88" s="3">
        <v>14</v>
      </c>
      <c r="B88" s="40" t="str">
        <f>'SALES &amp; RATE'!B88</f>
        <v>HUNTER</v>
      </c>
      <c r="C88" s="123">
        <f>'OPENING STOCK'!C88+RECIEPTS!C88</f>
        <v>0</v>
      </c>
      <c r="D88" s="124">
        <f>'OPENING STOCK'!D88</f>
        <v>0</v>
      </c>
      <c r="E88" s="125">
        <f>'OPENING STOCK'!E88+RECIEPTS!D88</f>
        <v>0</v>
      </c>
      <c r="F88" s="126">
        <f>'OPENING STOCK'!F88</f>
        <v>0</v>
      </c>
      <c r="G88" s="123">
        <f>'OPENING STOCK'!G88+RECIEPTS!E88</f>
        <v>0</v>
      </c>
      <c r="H88" s="124">
        <f>'OPENING STOCK'!H88</f>
        <v>0</v>
      </c>
      <c r="I88" s="125">
        <f>'OPENING STOCK'!I88+RECIEPTS!F88</f>
        <v>0</v>
      </c>
      <c r="J88" s="126">
        <f>'OPENING STOCK'!J88</f>
        <v>0</v>
      </c>
      <c r="K88" s="129"/>
      <c r="L88" s="130"/>
    </row>
    <row r="89" spans="1:12" ht="22.95" customHeight="1" x14ac:dyDescent="0.3">
      <c r="A89" s="3">
        <v>15</v>
      </c>
      <c r="B89" s="40" t="str">
        <f>'SALES &amp; RATE'!B89</f>
        <v>CARLSBERG ELE STRONG</v>
      </c>
      <c r="C89" s="123">
        <f>'OPENING STOCK'!C89+RECIEPTS!C89</f>
        <v>10</v>
      </c>
      <c r="D89" s="124">
        <f>'OPENING STOCK'!D89</f>
        <v>4</v>
      </c>
      <c r="E89" s="125">
        <f>'OPENING STOCK'!E89+RECIEPTS!D89</f>
        <v>1</v>
      </c>
      <c r="F89" s="126">
        <f>'OPENING STOCK'!F89</f>
        <v>0</v>
      </c>
      <c r="G89" s="123">
        <f>'OPENING STOCK'!G89+RECIEPTS!E89</f>
        <v>0</v>
      </c>
      <c r="H89" s="124">
        <f>'OPENING STOCK'!H89</f>
        <v>0</v>
      </c>
      <c r="I89" s="125">
        <f>'OPENING STOCK'!I89+RECIEPTS!F89</f>
        <v>0</v>
      </c>
      <c r="J89" s="126">
        <f>'OPENING STOCK'!J89</f>
        <v>0</v>
      </c>
      <c r="K89" s="129"/>
      <c r="L89" s="130"/>
    </row>
    <row r="90" spans="1:12" ht="22.95" customHeight="1" x14ac:dyDescent="0.3">
      <c r="A90" s="3">
        <v>16</v>
      </c>
      <c r="B90" s="40" t="str">
        <f>'SALES &amp; RATE'!B90</f>
        <v>SUNNY STRONG</v>
      </c>
      <c r="C90" s="123">
        <f>'OPENING STOCK'!C90+RECIEPTS!C90</f>
        <v>5</v>
      </c>
      <c r="D90" s="124">
        <f>'OPENING STOCK'!D90</f>
        <v>0</v>
      </c>
      <c r="E90" s="125">
        <f>'OPENING STOCK'!E90+RECIEPTS!D90</f>
        <v>0</v>
      </c>
      <c r="F90" s="126">
        <f>'OPENING STOCK'!F90</f>
        <v>0</v>
      </c>
      <c r="G90" s="123">
        <f>'OPENING STOCK'!G90+RECIEPTS!E90</f>
        <v>0</v>
      </c>
      <c r="H90" s="124">
        <f>'OPENING STOCK'!H90</f>
        <v>0</v>
      </c>
      <c r="I90" s="125">
        <f>'OPENING STOCK'!I90+RECIEPTS!F90</f>
        <v>0</v>
      </c>
      <c r="J90" s="126">
        <f>'OPENING STOCK'!J90</f>
        <v>0</v>
      </c>
      <c r="K90" s="129"/>
      <c r="L90" s="130"/>
    </row>
    <row r="91" spans="1:12" ht="22.95" customHeight="1" x14ac:dyDescent="0.3">
      <c r="A91" s="3">
        <v>17</v>
      </c>
      <c r="B91" s="40" t="str">
        <f>'SALES &amp; RATE'!B91</f>
        <v>FOSTERS BEER</v>
      </c>
      <c r="C91" s="123">
        <f>'OPENING STOCK'!C91+RECIEPTS!C91</f>
        <v>0</v>
      </c>
      <c r="D91" s="124">
        <f>'OPENING STOCK'!D91</f>
        <v>0</v>
      </c>
      <c r="E91" s="125">
        <f>'OPENING STOCK'!E91+RECIEPTS!D91</f>
        <v>0</v>
      </c>
      <c r="F91" s="126">
        <f>'OPENING STOCK'!F91</f>
        <v>0</v>
      </c>
      <c r="G91" s="123">
        <f>'OPENING STOCK'!G91+RECIEPTS!E91</f>
        <v>0</v>
      </c>
      <c r="H91" s="124">
        <f>'OPENING STOCK'!H91</f>
        <v>0</v>
      </c>
      <c r="I91" s="125">
        <f>'OPENING STOCK'!I91+RECIEPTS!F91</f>
        <v>0</v>
      </c>
      <c r="J91" s="126">
        <f>'OPENING STOCK'!J91</f>
        <v>0</v>
      </c>
      <c r="K91" s="129"/>
      <c r="L91" s="130"/>
    </row>
    <row r="92" spans="1:12" ht="22.95" customHeight="1" x14ac:dyDescent="0.3">
      <c r="A92" s="3">
        <v>18</v>
      </c>
      <c r="B92" s="40" t="str">
        <f>'SALES &amp; RATE'!B92</f>
        <v>HEINEKEN BEER</v>
      </c>
      <c r="C92" s="123">
        <f>'OPENING STOCK'!C92+RECIEPTS!C92</f>
        <v>0</v>
      </c>
      <c r="D92" s="124">
        <f>'OPENING STOCK'!D92</f>
        <v>0</v>
      </c>
      <c r="E92" s="125">
        <f>'OPENING STOCK'!E92+RECIEPTS!D92</f>
        <v>0</v>
      </c>
      <c r="F92" s="126">
        <f>'OPENING STOCK'!F92</f>
        <v>0</v>
      </c>
      <c r="G92" s="123">
        <f>'OPENING STOCK'!G92+RECIEPTS!E92</f>
        <v>0</v>
      </c>
      <c r="H92" s="124">
        <f>'OPENING STOCK'!H92</f>
        <v>0</v>
      </c>
      <c r="I92" s="125">
        <f>'OPENING STOCK'!I92+RECIEPTS!F92</f>
        <v>0</v>
      </c>
      <c r="J92" s="126">
        <f>'OPENING STOCK'!J92</f>
        <v>0</v>
      </c>
      <c r="K92" s="129"/>
      <c r="L92" s="130"/>
    </row>
    <row r="93" spans="1:12" ht="22.95" customHeight="1" x14ac:dyDescent="0.3">
      <c r="A93" s="3">
        <v>19</v>
      </c>
      <c r="B93" s="40" t="str">
        <f>'SALES &amp; RATE'!B93</f>
        <v>TUBORG CLASSIC</v>
      </c>
      <c r="C93" s="123">
        <f>'OPENING STOCK'!C93+RECIEPTS!C93</f>
        <v>0</v>
      </c>
      <c r="D93" s="124">
        <f>'OPENING STOCK'!D93</f>
        <v>20</v>
      </c>
      <c r="E93" s="125">
        <f>'OPENING STOCK'!E93+RECIEPTS!D93</f>
        <v>0</v>
      </c>
      <c r="F93" s="126">
        <f>'OPENING STOCK'!F93</f>
        <v>0</v>
      </c>
      <c r="G93" s="123">
        <f>'OPENING STOCK'!G93+RECIEPTS!E93</f>
        <v>0</v>
      </c>
      <c r="H93" s="124">
        <f>'OPENING STOCK'!H93</f>
        <v>0</v>
      </c>
      <c r="I93" s="125">
        <f>'OPENING STOCK'!I93+RECIEPTS!F93</f>
        <v>0</v>
      </c>
      <c r="J93" s="126">
        <f>'OPENING STOCK'!J93</f>
        <v>0</v>
      </c>
      <c r="K93" s="129"/>
      <c r="L93" s="130"/>
    </row>
    <row r="94" spans="1:12" ht="22.95" customHeight="1" thickBot="1" x14ac:dyDescent="0.35">
      <c r="A94" s="41">
        <v>20</v>
      </c>
      <c r="B94" s="40">
        <f>'SALES &amp; RATE'!B94</f>
        <v>0</v>
      </c>
      <c r="C94" s="131">
        <f>'OPENING STOCK'!C94+RECIEPTS!C94</f>
        <v>0</v>
      </c>
      <c r="D94" s="132">
        <f>'OPENING STOCK'!D94</f>
        <v>0</v>
      </c>
      <c r="E94" s="133">
        <f>'OPENING STOCK'!E94+RECIEPTS!D94</f>
        <v>0</v>
      </c>
      <c r="F94" s="134">
        <f>'OPENING STOCK'!F94</f>
        <v>0</v>
      </c>
      <c r="G94" s="131">
        <f>'OPENING STOCK'!G94+RECIEPTS!E94</f>
        <v>0</v>
      </c>
      <c r="H94" s="132">
        <f>'OPENING STOCK'!H94</f>
        <v>0</v>
      </c>
      <c r="I94" s="133">
        <f>'OPENING STOCK'!I94+RECIEPTS!F94</f>
        <v>0</v>
      </c>
      <c r="J94" s="134">
        <f>'OPENING STOCK'!J94</f>
        <v>0</v>
      </c>
      <c r="K94" s="135"/>
      <c r="L94" s="136"/>
    </row>
    <row r="95" spans="1:12" ht="22.95" customHeight="1" thickBot="1" x14ac:dyDescent="0.35">
      <c r="A95" s="307" t="s">
        <v>17</v>
      </c>
      <c r="B95" s="308"/>
      <c r="C95" s="311" t="s">
        <v>80</v>
      </c>
      <c r="D95" s="312"/>
      <c r="E95" s="312"/>
      <c r="F95" s="312"/>
      <c r="G95" s="312"/>
      <c r="H95" s="312"/>
      <c r="I95" s="312"/>
      <c r="J95" s="312"/>
      <c r="K95" s="312"/>
      <c r="L95" s="313"/>
    </row>
    <row r="96" spans="1:12" ht="22.95" customHeight="1" thickBot="1" x14ac:dyDescent="0.35">
      <c r="A96" s="309"/>
      <c r="B96" s="310"/>
      <c r="C96" s="224" t="s">
        <v>18</v>
      </c>
      <c r="D96" s="226"/>
      <c r="E96" s="227" t="s">
        <v>19</v>
      </c>
      <c r="F96" s="225"/>
      <c r="G96" s="224" t="s">
        <v>72</v>
      </c>
      <c r="H96" s="226"/>
      <c r="I96" s="227" t="s">
        <v>20</v>
      </c>
      <c r="J96" s="225"/>
      <c r="K96" s="47"/>
      <c r="L96" s="48"/>
    </row>
    <row r="97" spans="1:12" ht="22.95" customHeight="1" x14ac:dyDescent="0.3">
      <c r="A97" s="18" t="s">
        <v>9</v>
      </c>
      <c r="B97" s="17" t="s">
        <v>13</v>
      </c>
      <c r="C97" s="5" t="s">
        <v>71</v>
      </c>
      <c r="D97" s="6" t="s">
        <v>3</v>
      </c>
      <c r="E97" s="7" t="s">
        <v>2</v>
      </c>
      <c r="F97" s="8" t="s">
        <v>3</v>
      </c>
      <c r="G97" s="5" t="s">
        <v>10</v>
      </c>
      <c r="H97" s="6" t="s">
        <v>3</v>
      </c>
      <c r="I97" s="7" t="s">
        <v>70</v>
      </c>
      <c r="J97" s="8" t="s">
        <v>3</v>
      </c>
      <c r="K97" s="45"/>
      <c r="L97" s="46"/>
    </row>
    <row r="98" spans="1:12" ht="22.95" customHeight="1" x14ac:dyDescent="0.3">
      <c r="A98" s="3">
        <v>1</v>
      </c>
      <c r="B98" s="40" t="str">
        <f>'SALES &amp; RATE'!B98</f>
        <v>COOL DRINKS</v>
      </c>
      <c r="C98" s="123">
        <f>'OPENING STOCK'!C98+RECIEPTS!C98</f>
        <v>0</v>
      </c>
      <c r="D98" s="124">
        <f>'OPENING STOCK'!D98</f>
        <v>0</v>
      </c>
      <c r="E98" s="125">
        <f>'OPENING STOCK'!E98+RECIEPTS!D98</f>
        <v>0</v>
      </c>
      <c r="F98" s="126">
        <f>'OPENING STOCK'!F98</f>
        <v>0</v>
      </c>
      <c r="G98" s="123">
        <f>'OPENING STOCK'!G98+RECIEPTS!E98</f>
        <v>6</v>
      </c>
      <c r="H98" s="124">
        <f>'OPENING STOCK'!H98</f>
        <v>116</v>
      </c>
      <c r="I98" s="125">
        <f>'OPENING STOCK'!I98+RECIEPTS!F98</f>
        <v>12</v>
      </c>
      <c r="J98" s="126">
        <f>'OPENING STOCK'!J98</f>
        <v>82</v>
      </c>
      <c r="K98" s="129"/>
      <c r="L98" s="137"/>
    </row>
    <row r="99" spans="1:12" ht="22.95" customHeight="1" x14ac:dyDescent="0.3">
      <c r="A99" s="3">
        <v>2</v>
      </c>
      <c r="B99" s="40" t="str">
        <f>'SALES &amp; RATE'!B99</f>
        <v>SODA*12/REDBULL*24</v>
      </c>
      <c r="C99" s="123">
        <f>'OPENING STOCK'!C99+RECIEPTS!C99</f>
        <v>0</v>
      </c>
      <c r="D99" s="124">
        <f>'OPENING STOCK'!D99</f>
        <v>0</v>
      </c>
      <c r="E99" s="125">
        <f>'OPENING STOCK'!E99+RECIEPTS!D99</f>
        <v>0</v>
      </c>
      <c r="F99" s="126">
        <f>'OPENING STOCK'!F99</f>
        <v>0</v>
      </c>
      <c r="G99" s="123">
        <f>'OPENING STOCK'!G99+RECIEPTS!E99</f>
        <v>12</v>
      </c>
      <c r="H99" s="124">
        <f>'OPENING STOCK'!H99</f>
        <v>10</v>
      </c>
      <c r="I99" s="125">
        <f>'OPENING STOCK'!I99+RECIEPTS!F99</f>
        <v>1</v>
      </c>
      <c r="J99" s="126">
        <f>'OPENING STOCK'!J99</f>
        <v>6</v>
      </c>
      <c r="K99" s="138"/>
      <c r="L99" s="139"/>
    </row>
    <row r="100" spans="1:12" ht="22.95" customHeight="1" thickBot="1" x14ac:dyDescent="0.35">
      <c r="A100" s="41">
        <v>3</v>
      </c>
      <c r="B100" s="42" t="str">
        <f>'SALES &amp; RATE'!B100</f>
        <v>MIN WATER</v>
      </c>
      <c r="C100" s="131">
        <f>'OPENING STOCK'!C100+RECIEPTS!C100</f>
        <v>15</v>
      </c>
      <c r="D100" s="132">
        <f>'OPENING STOCK'!D100</f>
        <v>21</v>
      </c>
      <c r="E100" s="133">
        <f>'OPENING STOCK'!E100+RECIEPTS!D100</f>
        <v>70</v>
      </c>
      <c r="F100" s="134">
        <f>'OPENING STOCK'!F100</f>
        <v>30</v>
      </c>
      <c r="G100" s="131">
        <f>'OPENING STOCK'!G100+RECIEPTS!E100</f>
        <v>27</v>
      </c>
      <c r="H100" s="132">
        <f>'OPENING STOCK'!H100</f>
        <v>98</v>
      </c>
      <c r="I100" s="133">
        <f>'OPENING STOCK'!I100+RECIEPTS!F100</f>
        <v>0</v>
      </c>
      <c r="J100" s="134">
        <f>'OPENING STOCK'!J100</f>
        <v>0</v>
      </c>
      <c r="K100" s="140"/>
      <c r="L100" s="141"/>
    </row>
  </sheetData>
  <sheetProtection selectLockedCells="1"/>
  <mergeCells count="26">
    <mergeCell ref="A1:B2"/>
    <mergeCell ref="C1:L1"/>
    <mergeCell ref="C2:D2"/>
    <mergeCell ref="E2:F2"/>
    <mergeCell ref="G2:H2"/>
    <mergeCell ref="I2:J2"/>
    <mergeCell ref="K2:L2"/>
    <mergeCell ref="A51:B52"/>
    <mergeCell ref="C51:L51"/>
    <mergeCell ref="C52:D52"/>
    <mergeCell ref="E52:F52"/>
    <mergeCell ref="G52:H52"/>
    <mergeCell ref="I52:J52"/>
    <mergeCell ref="K52:L52"/>
    <mergeCell ref="A72:B73"/>
    <mergeCell ref="C73:D73"/>
    <mergeCell ref="E73:F73"/>
    <mergeCell ref="G73:H73"/>
    <mergeCell ref="I73:J73"/>
    <mergeCell ref="C72:L72"/>
    <mergeCell ref="A95:B96"/>
    <mergeCell ref="C96:D96"/>
    <mergeCell ref="E96:F96"/>
    <mergeCell ref="G96:H96"/>
    <mergeCell ref="I96:J96"/>
    <mergeCell ref="C95:L9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M100"/>
  <sheetViews>
    <sheetView zoomScaleNormal="100" zoomScalePageLayoutView="125" workbookViewId="0">
      <pane xSplit="2" ySplit="3" topLeftCell="C4" activePane="bottomRight" state="frozenSplit"/>
      <selection pane="topRight" activeCell="C1" sqref="C1"/>
      <selection pane="bottomLeft" activeCell="A4" sqref="A4"/>
      <selection pane="bottomRight" activeCell="H54" sqref="H54"/>
    </sheetView>
  </sheetViews>
  <sheetFormatPr defaultColWidth="10.69921875" defaultRowHeight="15.6" x14ac:dyDescent="0.3"/>
  <cols>
    <col min="1" max="1" width="4.69921875" customWidth="1"/>
    <col min="2" max="2" width="21.5" customWidth="1"/>
    <col min="3" max="3" width="8.5" customWidth="1"/>
    <col min="4" max="4" width="15.19921875" customWidth="1"/>
    <col min="5" max="5" width="8.5" customWidth="1"/>
    <col min="6" max="6" width="15.19921875" customWidth="1"/>
    <col min="7" max="7" width="8.5" customWidth="1"/>
    <col min="8" max="8" width="15.19921875" customWidth="1"/>
    <col min="9" max="9" width="8.5" customWidth="1"/>
    <col min="10" max="10" width="15.19921875" customWidth="1"/>
    <col min="11" max="11" width="8.5" customWidth="1"/>
    <col min="12" max="12" width="15.19921875" customWidth="1"/>
    <col min="13" max="13" width="21.19921875" customWidth="1"/>
  </cols>
  <sheetData>
    <row r="1" spans="1:12" ht="28.2" customHeight="1" thickBot="1" x14ac:dyDescent="0.35">
      <c r="A1" s="351" t="s">
        <v>0</v>
      </c>
      <c r="B1" s="352"/>
      <c r="C1" s="355" t="s">
        <v>81</v>
      </c>
      <c r="D1" s="356"/>
      <c r="E1" s="356"/>
      <c r="F1" s="356"/>
      <c r="G1" s="356"/>
      <c r="H1" s="356"/>
      <c r="I1" s="356"/>
      <c r="J1" s="356"/>
      <c r="K1" s="356"/>
      <c r="L1" s="357"/>
    </row>
    <row r="2" spans="1:12" ht="22.95" customHeight="1" x14ac:dyDescent="0.3">
      <c r="A2" s="353"/>
      <c r="B2" s="354"/>
      <c r="C2" s="249" t="s">
        <v>4</v>
      </c>
      <c r="D2" s="250"/>
      <c r="E2" s="249" t="s">
        <v>5</v>
      </c>
      <c r="F2" s="250"/>
      <c r="G2" s="249" t="s">
        <v>6</v>
      </c>
      <c r="H2" s="250"/>
      <c r="I2" s="254" t="s">
        <v>7</v>
      </c>
      <c r="J2" s="271"/>
      <c r="K2" s="254" t="s">
        <v>8</v>
      </c>
      <c r="L2" s="255"/>
    </row>
    <row r="3" spans="1:12" ht="22.95" customHeight="1" x14ac:dyDescent="0.3">
      <c r="A3" s="34" t="s">
        <v>9</v>
      </c>
      <c r="B3" s="36" t="s">
        <v>13</v>
      </c>
      <c r="C3" s="9" t="s">
        <v>2</v>
      </c>
      <c r="D3" s="12" t="s">
        <v>3</v>
      </c>
      <c r="E3" s="9" t="s">
        <v>10</v>
      </c>
      <c r="F3" s="12" t="s">
        <v>3</v>
      </c>
      <c r="G3" s="9" t="s">
        <v>11</v>
      </c>
      <c r="H3" s="12" t="s">
        <v>3</v>
      </c>
      <c r="I3" s="15" t="s">
        <v>12</v>
      </c>
      <c r="J3" s="14" t="s">
        <v>3</v>
      </c>
      <c r="K3" s="15" t="s">
        <v>77</v>
      </c>
      <c r="L3" s="16" t="s">
        <v>3</v>
      </c>
    </row>
    <row r="4" spans="1:12" ht="22.95" customHeight="1" x14ac:dyDescent="0.3">
      <c r="A4" s="3">
        <v>1</v>
      </c>
      <c r="B4" s="89" t="str">
        <f>'SALES &amp; RATE'!B4</f>
        <v>M H BRANDY</v>
      </c>
      <c r="C4" s="184">
        <f>'TOTAL STOCK'!C4</f>
        <v>0</v>
      </c>
      <c r="D4" s="185">
        <v>8</v>
      </c>
      <c r="E4" s="184">
        <v>0</v>
      </c>
      <c r="F4" s="185">
        <v>24</v>
      </c>
      <c r="G4" s="184">
        <v>6</v>
      </c>
      <c r="H4" s="185">
        <v>47</v>
      </c>
      <c r="I4" s="186">
        <v>6</v>
      </c>
      <c r="J4" s="187">
        <v>73</v>
      </c>
      <c r="K4" s="186">
        <f>'TOTAL STOCK'!K4</f>
        <v>0</v>
      </c>
      <c r="L4" s="188">
        <f>'TOTAL STOCK'!L4</f>
        <v>0</v>
      </c>
    </row>
    <row r="5" spans="1:12" ht="22.95" customHeight="1" x14ac:dyDescent="0.3">
      <c r="A5" s="3">
        <v>2</v>
      </c>
      <c r="B5" s="89" t="str">
        <f>'SALES &amp; RATE'!B5</f>
        <v>MC BRANDY</v>
      </c>
      <c r="C5" s="184">
        <f>'TOTAL STOCK'!C5</f>
        <v>0</v>
      </c>
      <c r="D5" s="185">
        <v>11</v>
      </c>
      <c r="E5" s="184">
        <f>'TOTAL STOCK'!E5</f>
        <v>1</v>
      </c>
      <c r="F5" s="185">
        <v>7</v>
      </c>
      <c r="G5" s="184">
        <v>6</v>
      </c>
      <c r="H5" s="185">
        <v>54</v>
      </c>
      <c r="I5" s="186">
        <v>5</v>
      </c>
      <c r="J5" s="187">
        <v>81</v>
      </c>
      <c r="K5" s="186">
        <f>'TOTAL STOCK'!K5</f>
        <v>0</v>
      </c>
      <c r="L5" s="188">
        <f>'TOTAL STOCK'!L5</f>
        <v>0</v>
      </c>
    </row>
    <row r="6" spans="1:12" ht="22.95" customHeight="1" x14ac:dyDescent="0.3">
      <c r="A6" s="3">
        <v>3</v>
      </c>
      <c r="B6" s="89" t="str">
        <f>'SALES &amp; RATE'!B6</f>
        <v>O.C.BRANDY</v>
      </c>
      <c r="C6" s="184">
        <f>'TOTAL STOCK'!C6</f>
        <v>0</v>
      </c>
      <c r="D6" s="185">
        <f>'TOTAL STOCK'!D6</f>
        <v>0</v>
      </c>
      <c r="E6" s="184">
        <f>'TOTAL STOCK'!E6</f>
        <v>0</v>
      </c>
      <c r="F6" s="185">
        <f>'TOTAL STOCK'!F6</f>
        <v>0</v>
      </c>
      <c r="G6" s="184">
        <v>3</v>
      </c>
      <c r="H6" s="185">
        <v>55</v>
      </c>
      <c r="I6" s="186">
        <v>3</v>
      </c>
      <c r="J6" s="187">
        <v>64</v>
      </c>
      <c r="K6" s="186">
        <f>'TOTAL STOCK'!K6</f>
        <v>0</v>
      </c>
      <c r="L6" s="188">
        <f>'TOTAL STOCK'!L6</f>
        <v>0</v>
      </c>
    </row>
    <row r="7" spans="1:12" ht="22.95" customHeight="1" x14ac:dyDescent="0.3">
      <c r="A7" s="3">
        <v>4</v>
      </c>
      <c r="B7" s="89" t="str">
        <f>'SALES &amp; RATE'!B7</f>
        <v>AMRUT SILVER CUP</v>
      </c>
      <c r="C7" s="184">
        <f>'TOTAL STOCK'!C7</f>
        <v>0</v>
      </c>
      <c r="D7" s="185">
        <f>'TOTAL STOCK'!D7</f>
        <v>0</v>
      </c>
      <c r="E7" s="184">
        <f>'TOTAL STOCK'!E7</f>
        <v>0</v>
      </c>
      <c r="F7" s="185">
        <f>'TOTAL STOCK'!F7</f>
        <v>0</v>
      </c>
      <c r="G7" s="184">
        <f>'TOTAL STOCK'!G7</f>
        <v>8</v>
      </c>
      <c r="H7" s="185">
        <v>26</v>
      </c>
      <c r="I7" s="186">
        <v>4</v>
      </c>
      <c r="J7" s="187">
        <v>25</v>
      </c>
      <c r="K7" s="186">
        <f>'TOTAL STOCK'!K7</f>
        <v>0</v>
      </c>
      <c r="L7" s="188">
        <f>'TOTAL STOCK'!L7</f>
        <v>0</v>
      </c>
    </row>
    <row r="8" spans="1:12" ht="22.95" customHeight="1" x14ac:dyDescent="0.3">
      <c r="A8" s="3">
        <v>5</v>
      </c>
      <c r="B8" s="89" t="str">
        <f>'SALES &amp; RATE'!B8</f>
        <v>HONEY BEE BRANDY</v>
      </c>
      <c r="C8" s="184">
        <f>'TOTAL STOCK'!C8</f>
        <v>0</v>
      </c>
      <c r="D8" s="185">
        <f>'TOTAL STOCK'!D8</f>
        <v>0</v>
      </c>
      <c r="E8" s="184">
        <f>'TOTAL STOCK'!E8</f>
        <v>0</v>
      </c>
      <c r="F8" s="185">
        <f>'TOTAL STOCK'!F8</f>
        <v>0</v>
      </c>
      <c r="G8" s="184">
        <f>'TOTAL STOCK'!G8</f>
        <v>0</v>
      </c>
      <c r="H8" s="185">
        <v>14</v>
      </c>
      <c r="I8" s="186">
        <f>'TOTAL STOCK'!I8</f>
        <v>0</v>
      </c>
      <c r="J8" s="187">
        <v>42</v>
      </c>
      <c r="K8" s="186">
        <f>'TOTAL STOCK'!K8</f>
        <v>0</v>
      </c>
      <c r="L8" s="188">
        <f>'TOTAL STOCK'!L8</f>
        <v>0</v>
      </c>
    </row>
    <row r="9" spans="1:12" ht="22.95" customHeight="1" x14ac:dyDescent="0.3">
      <c r="A9" s="3">
        <v>6</v>
      </c>
      <c r="B9" s="89" t="str">
        <f>'SALES &amp; RATE'!B9</f>
        <v>O A BRANDY</v>
      </c>
      <c r="C9" s="184">
        <f>'TOTAL STOCK'!C9</f>
        <v>0</v>
      </c>
      <c r="D9" s="185">
        <f>'TOTAL STOCK'!D9</f>
        <v>3</v>
      </c>
      <c r="E9" s="184">
        <f>'TOTAL STOCK'!E9</f>
        <v>0</v>
      </c>
      <c r="F9" s="185">
        <f>'TOTAL STOCK'!F9</f>
        <v>0</v>
      </c>
      <c r="G9" s="184">
        <v>1</v>
      </c>
      <c r="H9" s="185">
        <v>90</v>
      </c>
      <c r="I9" s="186">
        <v>3</v>
      </c>
      <c r="J9" s="187">
        <v>103</v>
      </c>
      <c r="K9" s="186">
        <f>'TOTAL STOCK'!K9</f>
        <v>0</v>
      </c>
      <c r="L9" s="188">
        <f>'TOTAL STOCK'!L9</f>
        <v>0</v>
      </c>
    </row>
    <row r="10" spans="1:12" ht="22.95" customHeight="1" x14ac:dyDescent="0.3">
      <c r="A10" s="3">
        <v>7</v>
      </c>
      <c r="B10" s="89" t="str">
        <f>'SALES &amp; RATE'!B10</f>
        <v>BEJOIS BRANDY</v>
      </c>
      <c r="C10" s="184">
        <f>'TOTAL STOCK'!C10</f>
        <v>0</v>
      </c>
      <c r="D10" s="185">
        <f>'TOTAL STOCK'!D10</f>
        <v>6</v>
      </c>
      <c r="E10" s="184">
        <f>'TOTAL STOCK'!E10</f>
        <v>0</v>
      </c>
      <c r="F10" s="185">
        <f>'TOTAL STOCK'!F10</f>
        <v>0</v>
      </c>
      <c r="G10" s="184">
        <v>5</v>
      </c>
      <c r="H10" s="185">
        <v>56</v>
      </c>
      <c r="I10" s="186">
        <v>6</v>
      </c>
      <c r="J10" s="187">
        <v>21</v>
      </c>
      <c r="K10" s="186">
        <f>'TOTAL STOCK'!K10</f>
        <v>0</v>
      </c>
      <c r="L10" s="188">
        <f>'TOTAL STOCK'!L10</f>
        <v>0</v>
      </c>
    </row>
    <row r="11" spans="1:12" ht="22.95" customHeight="1" x14ac:dyDescent="0.3">
      <c r="A11" s="3">
        <v>8</v>
      </c>
      <c r="B11" s="89" t="str">
        <f>'SALES &amp; RATE'!B11</f>
        <v>MORPHIS BRANDY</v>
      </c>
      <c r="C11" s="184">
        <f>'TOTAL STOCK'!C11</f>
        <v>0</v>
      </c>
      <c r="D11" s="185">
        <f>'TOTAL STOCK'!D11</f>
        <v>0</v>
      </c>
      <c r="E11" s="184">
        <f>'TOTAL STOCK'!E11</f>
        <v>0</v>
      </c>
      <c r="F11" s="185">
        <f>'TOTAL STOCK'!F11</f>
        <v>0</v>
      </c>
      <c r="G11" s="184">
        <f>'TOTAL STOCK'!G11</f>
        <v>0</v>
      </c>
      <c r="H11" s="185">
        <v>26</v>
      </c>
      <c r="I11" s="186">
        <f>'TOTAL STOCK'!I11</f>
        <v>0</v>
      </c>
      <c r="J11" s="187">
        <f>'TOTAL STOCK'!J11</f>
        <v>0</v>
      </c>
      <c r="K11" s="186">
        <f>'TOTAL STOCK'!K11</f>
        <v>0</v>
      </c>
      <c r="L11" s="188">
        <v>19</v>
      </c>
    </row>
    <row r="12" spans="1:12" ht="22.95" customHeight="1" x14ac:dyDescent="0.3">
      <c r="A12" s="3">
        <v>9</v>
      </c>
      <c r="B12" s="89" t="str">
        <f>'SALES &amp; RATE'!B12</f>
        <v>M C WHISKY</v>
      </c>
      <c r="C12" s="184">
        <f>'TOTAL STOCK'!C12</f>
        <v>0</v>
      </c>
      <c r="D12" s="185">
        <v>9</v>
      </c>
      <c r="E12" s="184">
        <f>'TOTAL STOCK'!E12</f>
        <v>0</v>
      </c>
      <c r="F12" s="185">
        <v>13</v>
      </c>
      <c r="G12" s="184">
        <v>1</v>
      </c>
      <c r="H12" s="185">
        <v>22</v>
      </c>
      <c r="I12" s="186">
        <f>'TOTAL STOCK'!I12</f>
        <v>1</v>
      </c>
      <c r="J12" s="187">
        <v>41</v>
      </c>
      <c r="K12" s="186">
        <f>'TOTAL STOCK'!K12</f>
        <v>0</v>
      </c>
      <c r="L12" s="188">
        <f>'TOTAL STOCK'!L12</f>
        <v>0</v>
      </c>
    </row>
    <row r="13" spans="1:12" ht="22.95" customHeight="1" x14ac:dyDescent="0.3">
      <c r="A13" s="3">
        <v>10</v>
      </c>
      <c r="B13" s="89" t="str">
        <f>'SALES &amp; RATE'!B13</f>
        <v>BAGPIPER (W)</v>
      </c>
      <c r="C13" s="184">
        <f>'TOTAL STOCK'!C13</f>
        <v>0</v>
      </c>
      <c r="D13" s="185">
        <f>'TOTAL STOCK'!D13</f>
        <v>11</v>
      </c>
      <c r="E13" s="184">
        <f>'TOTAL STOCK'!E13</f>
        <v>0</v>
      </c>
      <c r="F13" s="185">
        <v>7</v>
      </c>
      <c r="G13" s="184">
        <v>9</v>
      </c>
      <c r="H13" s="185">
        <v>74</v>
      </c>
      <c r="I13" s="186">
        <v>4</v>
      </c>
      <c r="J13" s="187">
        <v>15</v>
      </c>
      <c r="K13" s="186">
        <f>'TOTAL STOCK'!K13</f>
        <v>0</v>
      </c>
      <c r="L13" s="188">
        <f>'TOTAL STOCK'!L13</f>
        <v>0</v>
      </c>
    </row>
    <row r="14" spans="1:12" ht="22.95" customHeight="1" x14ac:dyDescent="0.3">
      <c r="A14" s="3">
        <v>11</v>
      </c>
      <c r="B14" s="89" t="str">
        <f>'SALES &amp; RATE'!B14</f>
        <v>SIGNATURE (W)</v>
      </c>
      <c r="C14" s="184">
        <f>'TOTAL STOCK'!C14</f>
        <v>0</v>
      </c>
      <c r="D14" s="185">
        <f>'TOTAL STOCK'!D14</f>
        <v>0</v>
      </c>
      <c r="E14" s="184">
        <f>'TOTAL STOCK'!E14</f>
        <v>0</v>
      </c>
      <c r="F14" s="185">
        <f>'TOTAL STOCK'!F14</f>
        <v>0</v>
      </c>
      <c r="G14" s="184">
        <f>'TOTAL STOCK'!G14</f>
        <v>0</v>
      </c>
      <c r="H14" s="185">
        <f>'TOTAL STOCK'!H14</f>
        <v>31</v>
      </c>
      <c r="I14" s="186">
        <f>'TOTAL STOCK'!I14</f>
        <v>0</v>
      </c>
      <c r="J14" s="187">
        <f>'TOTAL STOCK'!J14</f>
        <v>0</v>
      </c>
      <c r="K14" s="186">
        <f>'TOTAL STOCK'!K14</f>
        <v>0</v>
      </c>
      <c r="L14" s="188">
        <f>'TOTAL STOCK'!L14</f>
        <v>0</v>
      </c>
    </row>
    <row r="15" spans="1:12" ht="22.95" customHeight="1" x14ac:dyDescent="0.3">
      <c r="A15" s="3">
        <v>12</v>
      </c>
      <c r="B15" s="89" t="str">
        <f>'SALES &amp; RATE'!B15</f>
        <v>O T WHISKY</v>
      </c>
      <c r="C15" s="184">
        <f>'TOTAL STOCK'!C15</f>
        <v>0</v>
      </c>
      <c r="D15" s="185">
        <f>'TOTAL STOCK'!D15</f>
        <v>0</v>
      </c>
      <c r="E15" s="184">
        <f>'TOTAL STOCK'!E15</f>
        <v>0</v>
      </c>
      <c r="F15" s="185">
        <f>'TOTAL STOCK'!F15</f>
        <v>0</v>
      </c>
      <c r="G15" s="184">
        <f>'TOTAL STOCK'!G15</f>
        <v>2</v>
      </c>
      <c r="H15" s="185">
        <v>17</v>
      </c>
      <c r="I15" s="186">
        <f>'TOTAL STOCK'!I15</f>
        <v>0</v>
      </c>
      <c r="J15" s="187">
        <v>90</v>
      </c>
      <c r="K15" s="186">
        <f>'TOTAL STOCK'!K15</f>
        <v>0</v>
      </c>
      <c r="L15" s="188">
        <f>'TOTAL STOCK'!L15</f>
        <v>0</v>
      </c>
    </row>
    <row r="16" spans="1:12" ht="22.95" customHeight="1" x14ac:dyDescent="0.3">
      <c r="A16" s="3">
        <v>13</v>
      </c>
      <c r="B16" s="89" t="str">
        <f>'SALES &amp; RATE'!B16</f>
        <v>DSP BLACK(W)</v>
      </c>
      <c r="C16" s="184">
        <f>'TOTAL STOCK'!C16</f>
        <v>0</v>
      </c>
      <c r="D16" s="185">
        <v>7</v>
      </c>
      <c r="E16" s="184">
        <f>'TOTAL STOCK'!E16</f>
        <v>0</v>
      </c>
      <c r="F16" s="185">
        <v>0</v>
      </c>
      <c r="G16" s="184">
        <v>5</v>
      </c>
      <c r="H16" s="185">
        <v>23</v>
      </c>
      <c r="I16" s="186">
        <v>5</v>
      </c>
      <c r="J16" s="187">
        <v>101</v>
      </c>
      <c r="K16" s="186">
        <f>'TOTAL STOCK'!K16</f>
        <v>0</v>
      </c>
      <c r="L16" s="188">
        <f>'TOTAL STOCK'!L16</f>
        <v>0</v>
      </c>
    </row>
    <row r="17" spans="1:12" ht="22.95" customHeight="1" x14ac:dyDescent="0.3">
      <c r="A17" s="3">
        <v>14</v>
      </c>
      <c r="B17" s="89" t="str">
        <f>'SALES &amp; RATE'!B17</f>
        <v>O C WHISKY</v>
      </c>
      <c r="C17" s="184">
        <f>'TOTAL STOCK'!C17</f>
        <v>0</v>
      </c>
      <c r="D17" s="185">
        <f>'TOTAL STOCK'!D17</f>
        <v>0</v>
      </c>
      <c r="E17" s="184">
        <f>'TOTAL STOCK'!E17</f>
        <v>0</v>
      </c>
      <c r="F17" s="185">
        <f>'TOTAL STOCK'!F17</f>
        <v>0</v>
      </c>
      <c r="G17" s="184">
        <v>7</v>
      </c>
      <c r="H17" s="185">
        <v>85</v>
      </c>
      <c r="I17" s="186">
        <v>3</v>
      </c>
      <c r="J17" s="187">
        <v>71</v>
      </c>
      <c r="K17" s="186">
        <f>'TOTAL STOCK'!K17</f>
        <v>0</v>
      </c>
      <c r="L17" s="188">
        <f>'TOTAL STOCK'!L17</f>
        <v>0</v>
      </c>
    </row>
    <row r="18" spans="1:12" ht="22.95" customHeight="1" x14ac:dyDescent="0.3">
      <c r="A18" s="3">
        <v>15</v>
      </c>
      <c r="B18" s="89" t="str">
        <f>'SALES &amp; RATE'!B18</f>
        <v>R C WHISKY</v>
      </c>
      <c r="C18" s="184">
        <f>'TOTAL STOCK'!C18</f>
        <v>0</v>
      </c>
      <c r="D18" s="185">
        <f>'TOTAL STOCK'!D18</f>
        <v>0</v>
      </c>
      <c r="E18" s="184">
        <f>'TOTAL STOCK'!E18</f>
        <v>0</v>
      </c>
      <c r="F18" s="185">
        <f>'TOTAL STOCK'!F18</f>
        <v>0</v>
      </c>
      <c r="G18" s="184">
        <f>'TOTAL STOCK'!G18</f>
        <v>0</v>
      </c>
      <c r="H18" s="185">
        <f>'TOTAL STOCK'!H18</f>
        <v>0</v>
      </c>
      <c r="I18" s="186">
        <f>'TOTAL STOCK'!I18</f>
        <v>0</v>
      </c>
      <c r="J18" s="187">
        <f>'TOTAL STOCK'!J18</f>
        <v>0</v>
      </c>
      <c r="K18" s="186">
        <f>'TOTAL STOCK'!K18</f>
        <v>0</v>
      </c>
      <c r="L18" s="188">
        <f>'TOTAL STOCK'!L18</f>
        <v>0</v>
      </c>
    </row>
    <row r="19" spans="1:12" ht="22.95" customHeight="1" x14ac:dyDescent="0.3">
      <c r="A19" s="3">
        <v>16</v>
      </c>
      <c r="B19" s="89" t="str">
        <f>'SALES &amp; RATE'!B19</f>
        <v>BLENDERS PRIDE</v>
      </c>
      <c r="C19" s="184">
        <f>'TOTAL STOCK'!C19</f>
        <v>0</v>
      </c>
      <c r="D19" s="185">
        <f>'TOTAL STOCK'!D19</f>
        <v>0</v>
      </c>
      <c r="E19" s="184">
        <f>'TOTAL STOCK'!E19</f>
        <v>0</v>
      </c>
      <c r="F19" s="185">
        <f>'TOTAL STOCK'!F19</f>
        <v>0</v>
      </c>
      <c r="G19" s="184">
        <f>'TOTAL STOCK'!G19</f>
        <v>0</v>
      </c>
      <c r="H19" s="185">
        <v>26</v>
      </c>
      <c r="I19" s="186">
        <f>'TOTAL STOCK'!I19</f>
        <v>0</v>
      </c>
      <c r="J19" s="187">
        <f>'TOTAL STOCK'!J19</f>
        <v>0</v>
      </c>
      <c r="K19" s="186">
        <f>'TOTAL STOCK'!K19</f>
        <v>0</v>
      </c>
      <c r="L19" s="188">
        <v>4</v>
      </c>
    </row>
    <row r="20" spans="1:12" ht="22.95" customHeight="1" x14ac:dyDescent="0.3">
      <c r="A20" s="3">
        <v>17</v>
      </c>
      <c r="B20" s="89" t="str">
        <f>'SALES &amp; RATE'!B20</f>
        <v>AFTER DARK</v>
      </c>
      <c r="C20" s="184">
        <f>'TOTAL STOCK'!C20</f>
        <v>0</v>
      </c>
      <c r="D20" s="185">
        <f>'TOTAL STOCK'!D20</f>
        <v>0</v>
      </c>
      <c r="E20" s="184">
        <f>'TOTAL STOCK'!E20</f>
        <v>0</v>
      </c>
      <c r="F20" s="185">
        <f>'TOTAL STOCK'!F20</f>
        <v>0</v>
      </c>
      <c r="G20" s="184">
        <f>'TOTAL STOCK'!G20</f>
        <v>0</v>
      </c>
      <c r="H20" s="185">
        <f>'TOTAL STOCK'!H20</f>
        <v>0</v>
      </c>
      <c r="I20" s="186">
        <f>'TOTAL STOCK'!I20</f>
        <v>0</v>
      </c>
      <c r="J20" s="187">
        <f>'TOTAL STOCK'!J20</f>
        <v>0</v>
      </c>
      <c r="K20" s="186">
        <f>'TOTAL STOCK'!K20</f>
        <v>0</v>
      </c>
      <c r="L20" s="188">
        <f>'TOTAL STOCK'!L20</f>
        <v>0</v>
      </c>
    </row>
    <row r="21" spans="1:12" ht="22.95" customHeight="1" x14ac:dyDescent="0.3">
      <c r="A21" s="3">
        <v>18</v>
      </c>
      <c r="B21" s="89" t="str">
        <f>'SALES &amp; RATE'!B21</f>
        <v>B'LORE MALT (W)</v>
      </c>
      <c r="C21" s="184">
        <f>'TOTAL STOCK'!C21</f>
        <v>0</v>
      </c>
      <c r="D21" s="185">
        <f>'TOTAL STOCK'!D21</f>
        <v>0</v>
      </c>
      <c r="E21" s="184">
        <f>'TOTAL STOCK'!E21</f>
        <v>0</v>
      </c>
      <c r="F21" s="185">
        <f>'TOTAL STOCK'!F21</f>
        <v>0</v>
      </c>
      <c r="G21" s="184">
        <f>'TOTAL STOCK'!G21</f>
        <v>4</v>
      </c>
      <c r="H21" s="185">
        <v>44</v>
      </c>
      <c r="I21" s="186">
        <v>4</v>
      </c>
      <c r="J21" s="187">
        <v>91</v>
      </c>
      <c r="K21" s="186">
        <f>'TOTAL STOCK'!K21</f>
        <v>0</v>
      </c>
      <c r="L21" s="188">
        <f>'TOTAL STOCK'!L21</f>
        <v>0</v>
      </c>
    </row>
    <row r="22" spans="1:12" ht="22.95" customHeight="1" x14ac:dyDescent="0.3">
      <c r="A22" s="3">
        <v>19</v>
      </c>
      <c r="B22" s="89">
        <f>'SALES &amp; RATE'!B22</f>
        <v>0</v>
      </c>
      <c r="C22" s="184">
        <f>'TOTAL STOCK'!C22</f>
        <v>0</v>
      </c>
      <c r="D22" s="185">
        <f>'TOTAL STOCK'!D22</f>
        <v>0</v>
      </c>
      <c r="E22" s="184">
        <f>'TOTAL STOCK'!E22</f>
        <v>0</v>
      </c>
      <c r="F22" s="185">
        <f>'TOTAL STOCK'!F22</f>
        <v>0</v>
      </c>
      <c r="G22" s="184">
        <f>'TOTAL STOCK'!G22</f>
        <v>0</v>
      </c>
      <c r="H22" s="185">
        <f>'TOTAL STOCK'!H22</f>
        <v>0</v>
      </c>
      <c r="I22" s="186">
        <f>'TOTAL STOCK'!I22</f>
        <v>0</v>
      </c>
      <c r="J22" s="187">
        <f>'TOTAL STOCK'!J22</f>
        <v>0</v>
      </c>
      <c r="K22" s="186">
        <f>'TOTAL STOCK'!K22</f>
        <v>0</v>
      </c>
      <c r="L22" s="188">
        <f>'TOTAL STOCK'!L22</f>
        <v>0</v>
      </c>
    </row>
    <row r="23" spans="1:12" ht="22.95" customHeight="1" x14ac:dyDescent="0.3">
      <c r="A23" s="3">
        <v>20</v>
      </c>
      <c r="B23" s="89" t="str">
        <f>'SALES &amp; RATE'!B23</f>
        <v>ROYAL STAGE</v>
      </c>
      <c r="C23" s="184">
        <f>'TOTAL STOCK'!C23</f>
        <v>0</v>
      </c>
      <c r="D23" s="185">
        <v>4</v>
      </c>
      <c r="E23" s="184">
        <f>'TOTAL STOCK'!E23</f>
        <v>0</v>
      </c>
      <c r="F23" s="185">
        <v>7</v>
      </c>
      <c r="G23" s="184">
        <v>0</v>
      </c>
      <c r="H23" s="185">
        <v>56</v>
      </c>
      <c r="I23" s="186">
        <f>'TOTAL STOCK'!I23</f>
        <v>0</v>
      </c>
      <c r="J23" s="187">
        <v>92</v>
      </c>
      <c r="K23" s="186">
        <f>'TOTAL STOCK'!K23</f>
        <v>0</v>
      </c>
      <c r="L23" s="188">
        <f>'TOTAL STOCK'!L23</f>
        <v>0</v>
      </c>
    </row>
    <row r="24" spans="1:12" ht="22.95" customHeight="1" x14ac:dyDescent="0.3">
      <c r="A24" s="3">
        <v>21</v>
      </c>
      <c r="B24" s="89" t="str">
        <f>'SALES &amp; RATE'!B24</f>
        <v>HAYWARDS(W)</v>
      </c>
      <c r="C24" s="184">
        <f>'TOTAL STOCK'!C24</f>
        <v>0</v>
      </c>
      <c r="D24" s="185">
        <f>'TOTAL STOCK'!D24</f>
        <v>0</v>
      </c>
      <c r="E24" s="184">
        <f>'TOTAL STOCK'!E24</f>
        <v>0</v>
      </c>
      <c r="F24" s="185">
        <f>'TOTAL STOCK'!F24</f>
        <v>0</v>
      </c>
      <c r="G24" s="184">
        <v>4</v>
      </c>
      <c r="H24" s="185">
        <v>59</v>
      </c>
      <c r="I24" s="186">
        <v>2</v>
      </c>
      <c r="J24" s="187">
        <v>68</v>
      </c>
      <c r="K24" s="186">
        <f>'TOTAL STOCK'!K24</f>
        <v>0</v>
      </c>
      <c r="L24" s="188">
        <f>'TOTAL STOCK'!L24</f>
        <v>0</v>
      </c>
    </row>
    <row r="25" spans="1:12" ht="22.95" customHeight="1" x14ac:dyDescent="0.3">
      <c r="A25" s="3">
        <v>22</v>
      </c>
      <c r="B25" s="89" t="str">
        <f>'SALES &amp; RATE'!B25</f>
        <v xml:space="preserve">CNB RED </v>
      </c>
      <c r="C25" s="184">
        <f>'TOTAL STOCK'!C25</f>
        <v>0</v>
      </c>
      <c r="D25" s="185">
        <f>'TOTAL STOCK'!D25</f>
        <v>0</v>
      </c>
      <c r="E25" s="184">
        <f>'TOTAL STOCK'!E25</f>
        <v>0</v>
      </c>
      <c r="F25" s="185">
        <f>'TOTAL STOCK'!F25</f>
        <v>0</v>
      </c>
      <c r="G25" s="184">
        <f>'TOTAL STOCK'!G25</f>
        <v>0</v>
      </c>
      <c r="H25" s="185">
        <v>16</v>
      </c>
      <c r="I25" s="186">
        <f>'TOTAL STOCK'!I25</f>
        <v>0</v>
      </c>
      <c r="J25" s="187">
        <f>'TOTAL STOCK'!J25</f>
        <v>78</v>
      </c>
      <c r="K25" s="186">
        <f>'TOTAL STOCK'!K25</f>
        <v>0</v>
      </c>
      <c r="L25" s="188">
        <f>'TOTAL STOCK'!L25</f>
        <v>0</v>
      </c>
    </row>
    <row r="26" spans="1:12" ht="22.95" customHeight="1" x14ac:dyDescent="0.3">
      <c r="A26" s="3">
        <v>23</v>
      </c>
      <c r="B26" s="89" t="str">
        <f>'SALES &amp; RATE'!B26</f>
        <v>8.PM (W)</v>
      </c>
      <c r="C26" s="184">
        <f>'TOTAL STOCK'!C26</f>
        <v>0</v>
      </c>
      <c r="D26" s="185">
        <f>'TOTAL STOCK'!D26</f>
        <v>4</v>
      </c>
      <c r="E26" s="184">
        <f>'TOTAL STOCK'!E26</f>
        <v>0</v>
      </c>
      <c r="F26" s="185">
        <f>'TOTAL STOCK'!F26</f>
        <v>3</v>
      </c>
      <c r="G26" s="184">
        <v>0</v>
      </c>
      <c r="H26" s="185">
        <v>90</v>
      </c>
      <c r="I26" s="186">
        <v>0</v>
      </c>
      <c r="J26" s="187">
        <v>269</v>
      </c>
      <c r="K26" s="186">
        <f>'TOTAL STOCK'!K26</f>
        <v>0</v>
      </c>
      <c r="L26" s="188">
        <f>'TOTAL STOCK'!L26</f>
        <v>0</v>
      </c>
    </row>
    <row r="27" spans="1:12" ht="22.95" customHeight="1" x14ac:dyDescent="0.3">
      <c r="A27" s="3">
        <v>24</v>
      </c>
      <c r="B27" s="89" t="str">
        <f>'SALES &amp; RATE'!B27</f>
        <v>IMPERIAL BLUE(W)</v>
      </c>
      <c r="C27" s="184">
        <f>'TOTAL STOCK'!C27</f>
        <v>0</v>
      </c>
      <c r="D27" s="185">
        <v>0</v>
      </c>
      <c r="E27" s="184">
        <f>'TOTAL STOCK'!E27</f>
        <v>0</v>
      </c>
      <c r="F27" s="185">
        <v>15</v>
      </c>
      <c r="G27" s="184">
        <v>5</v>
      </c>
      <c r="H27" s="185">
        <v>26</v>
      </c>
      <c r="I27" s="186">
        <v>4</v>
      </c>
      <c r="J27" s="187">
        <v>91</v>
      </c>
      <c r="K27" s="186">
        <f>'TOTAL STOCK'!K27</f>
        <v>0</v>
      </c>
      <c r="L27" s="188">
        <f>'TOTAL STOCK'!L27</f>
        <v>0</v>
      </c>
    </row>
    <row r="28" spans="1:12" ht="22.95" customHeight="1" x14ac:dyDescent="0.3">
      <c r="A28" s="3">
        <v>25</v>
      </c>
      <c r="B28" s="89" t="str">
        <f>'SALES &amp; RATE'!B28</f>
        <v>BLACK DOG(8)YRS</v>
      </c>
      <c r="C28" s="184">
        <f>'TOTAL STOCK'!C28</f>
        <v>0</v>
      </c>
      <c r="D28" s="185">
        <f>'TOTAL STOCK'!D28</f>
        <v>0</v>
      </c>
      <c r="E28" s="184">
        <f>'TOTAL STOCK'!E28</f>
        <v>0</v>
      </c>
      <c r="F28" s="185">
        <f>'TOTAL STOCK'!F28</f>
        <v>0</v>
      </c>
      <c r="G28" s="184">
        <f>'TOTAL STOCK'!G28</f>
        <v>0</v>
      </c>
      <c r="H28" s="185">
        <f>'TOTAL STOCK'!H28</f>
        <v>13</v>
      </c>
      <c r="I28" s="186">
        <f>'TOTAL STOCK'!I28</f>
        <v>0</v>
      </c>
      <c r="J28" s="187">
        <f>'TOTAL STOCK'!J28</f>
        <v>0</v>
      </c>
      <c r="K28" s="186">
        <f>'TOTAL STOCK'!K28</f>
        <v>0</v>
      </c>
      <c r="L28" s="188">
        <f>'TOTAL STOCK'!L28</f>
        <v>0</v>
      </c>
    </row>
    <row r="29" spans="1:12" ht="22.95" customHeight="1" x14ac:dyDescent="0.3">
      <c r="A29" s="3">
        <v>26</v>
      </c>
      <c r="B29" s="89" t="str">
        <f>'SALES &amp; RATE'!B29</f>
        <v>100 PIPERS</v>
      </c>
      <c r="C29" s="184">
        <f>'TOTAL STOCK'!C29</f>
        <v>0</v>
      </c>
      <c r="D29" s="185">
        <f>'TOTAL STOCK'!D29</f>
        <v>0</v>
      </c>
      <c r="E29" s="184">
        <f>'TOTAL STOCK'!E29</f>
        <v>0</v>
      </c>
      <c r="F29" s="185">
        <f>'TOTAL STOCK'!F29</f>
        <v>0</v>
      </c>
      <c r="G29" s="184">
        <f>'TOTAL STOCK'!G29</f>
        <v>0</v>
      </c>
      <c r="H29" s="185">
        <v>14</v>
      </c>
      <c r="I29" s="186">
        <f>'TOTAL STOCK'!I29</f>
        <v>0</v>
      </c>
      <c r="J29" s="187">
        <f>'TOTAL STOCK'!J29</f>
        <v>0</v>
      </c>
      <c r="K29" s="186">
        <f>'TOTAL STOCK'!K29</f>
        <v>0</v>
      </c>
      <c r="L29" s="188">
        <v>16</v>
      </c>
    </row>
    <row r="30" spans="1:12" ht="22.95" customHeight="1" x14ac:dyDescent="0.3">
      <c r="A30" s="3">
        <v>27</v>
      </c>
      <c r="B30" s="89" t="str">
        <f>'SALES &amp; RATE'!B30</f>
        <v>8.PM (W) BLUE</v>
      </c>
      <c r="C30" s="184">
        <f>'TOTAL STOCK'!C30</f>
        <v>0</v>
      </c>
      <c r="D30" s="185">
        <f>'TOTAL STOCK'!D30</f>
        <v>0</v>
      </c>
      <c r="E30" s="184">
        <f>'TOTAL STOCK'!E30</f>
        <v>0</v>
      </c>
      <c r="F30" s="185">
        <f>'TOTAL STOCK'!F30</f>
        <v>0</v>
      </c>
      <c r="G30" s="184">
        <f>'TOTAL STOCK'!G30</f>
        <v>0</v>
      </c>
      <c r="H30" s="185">
        <f>'TOTAL STOCK'!H30</f>
        <v>0</v>
      </c>
      <c r="I30" s="186">
        <f>'TOTAL STOCK'!I30</f>
        <v>0</v>
      </c>
      <c r="J30" s="187">
        <f>'TOTAL STOCK'!J30</f>
        <v>0</v>
      </c>
      <c r="K30" s="186">
        <f>'TOTAL STOCK'!K30</f>
        <v>0</v>
      </c>
      <c r="L30" s="188">
        <f>'TOTAL STOCK'!L30</f>
        <v>0</v>
      </c>
    </row>
    <row r="31" spans="1:12" ht="22.95" customHeight="1" x14ac:dyDescent="0.3">
      <c r="A31" s="3">
        <v>28</v>
      </c>
      <c r="B31" s="89" t="str">
        <f>'SALES &amp; RATE'!B31</f>
        <v>TEACHERS HIGH</v>
      </c>
      <c r="C31" s="184">
        <f>'TOTAL STOCK'!C31</f>
        <v>0</v>
      </c>
      <c r="D31" s="185">
        <f>'TOTAL STOCK'!D31</f>
        <v>0</v>
      </c>
      <c r="E31" s="184">
        <f>'TOTAL STOCK'!E31</f>
        <v>0</v>
      </c>
      <c r="F31" s="185">
        <f>'TOTAL STOCK'!F31</f>
        <v>0</v>
      </c>
      <c r="G31" s="184">
        <f>'TOTAL STOCK'!G31</f>
        <v>0</v>
      </c>
      <c r="H31" s="185">
        <f>'TOTAL STOCK'!H31</f>
        <v>0</v>
      </c>
      <c r="I31" s="186">
        <f>'TOTAL STOCK'!I31</f>
        <v>0</v>
      </c>
      <c r="J31" s="187">
        <f>'TOTAL STOCK'!J31</f>
        <v>0</v>
      </c>
      <c r="K31" s="186">
        <f>'TOTAL STOCK'!K31</f>
        <v>0</v>
      </c>
      <c r="L31" s="188">
        <f>'TOTAL STOCK'!L31</f>
        <v>0</v>
      </c>
    </row>
    <row r="32" spans="1:12" ht="22.95" customHeight="1" x14ac:dyDescent="0.3">
      <c r="A32" s="3">
        <v>29</v>
      </c>
      <c r="B32" s="89" t="str">
        <f>'SALES &amp; RATE'!B32</f>
        <v>ANTIQUITY BLUE(W)</v>
      </c>
      <c r="C32" s="184">
        <f>'TOTAL STOCK'!C32</f>
        <v>0</v>
      </c>
      <c r="D32" s="185">
        <f>'TOTAL STOCK'!D32</f>
        <v>0</v>
      </c>
      <c r="E32" s="184">
        <f>'TOTAL STOCK'!E32</f>
        <v>0</v>
      </c>
      <c r="F32" s="185">
        <f>'TOTAL STOCK'!F32</f>
        <v>0</v>
      </c>
      <c r="G32" s="184">
        <f>'TOTAL STOCK'!G32</f>
        <v>0</v>
      </c>
      <c r="H32" s="185">
        <f>'TOTAL STOCK'!H32</f>
        <v>0</v>
      </c>
      <c r="I32" s="186">
        <f>'TOTAL STOCK'!I32</f>
        <v>0</v>
      </c>
      <c r="J32" s="187">
        <f>'TOTAL STOCK'!J32</f>
        <v>0</v>
      </c>
      <c r="K32" s="186">
        <f>'TOTAL STOCK'!K32</f>
        <v>0</v>
      </c>
      <c r="L32" s="188">
        <f>'TOTAL STOCK'!L32</f>
        <v>0</v>
      </c>
    </row>
    <row r="33" spans="1:12" ht="22.95" customHeight="1" x14ac:dyDescent="0.3">
      <c r="A33" s="3">
        <v>30</v>
      </c>
      <c r="B33" s="89">
        <f>'SALES &amp; RATE'!B33</f>
        <v>0</v>
      </c>
      <c r="C33" s="184">
        <f>'TOTAL STOCK'!C33</f>
        <v>0</v>
      </c>
      <c r="D33" s="185">
        <f>'TOTAL STOCK'!D33</f>
        <v>0</v>
      </c>
      <c r="E33" s="184">
        <f>'TOTAL STOCK'!E33</f>
        <v>0</v>
      </c>
      <c r="F33" s="185">
        <f>'TOTAL STOCK'!F33</f>
        <v>0</v>
      </c>
      <c r="G33" s="184">
        <f>'TOTAL STOCK'!G33</f>
        <v>0</v>
      </c>
      <c r="H33" s="185">
        <f>'TOTAL STOCK'!H33</f>
        <v>0</v>
      </c>
      <c r="I33" s="186">
        <f>'TOTAL STOCK'!I33</f>
        <v>0</v>
      </c>
      <c r="J33" s="187">
        <f>'TOTAL STOCK'!J33</f>
        <v>0</v>
      </c>
      <c r="K33" s="186">
        <f>'TOTAL STOCK'!K33</f>
        <v>0</v>
      </c>
      <c r="L33" s="188">
        <f>'TOTAL STOCK'!L33</f>
        <v>0</v>
      </c>
    </row>
    <row r="34" spans="1:12" ht="22.95" customHeight="1" x14ac:dyDescent="0.3">
      <c r="A34" s="3">
        <v>31</v>
      </c>
      <c r="B34" s="89" t="str">
        <f>'SALES &amp; RATE'!B34</f>
        <v>VAT 69</v>
      </c>
      <c r="C34" s="184">
        <f>'TOTAL STOCK'!C34</f>
        <v>0</v>
      </c>
      <c r="D34" s="185">
        <f>'TOTAL STOCK'!D34</f>
        <v>0</v>
      </c>
      <c r="E34" s="184">
        <f>'TOTAL STOCK'!E34</f>
        <v>0</v>
      </c>
      <c r="F34" s="185">
        <f>'TOTAL STOCK'!F34</f>
        <v>0</v>
      </c>
      <c r="G34" s="184">
        <f>'TOTAL STOCK'!G34</f>
        <v>0</v>
      </c>
      <c r="H34" s="185">
        <f>'TOTAL STOCK'!H34</f>
        <v>23</v>
      </c>
      <c r="I34" s="186">
        <f>'TOTAL STOCK'!I34</f>
        <v>0</v>
      </c>
      <c r="J34" s="187">
        <f>'TOTAL STOCK'!J34</f>
        <v>0</v>
      </c>
      <c r="K34" s="186">
        <f>'TOTAL STOCK'!K34</f>
        <v>0</v>
      </c>
      <c r="L34" s="188">
        <f>'TOTAL STOCK'!L34</f>
        <v>0</v>
      </c>
    </row>
    <row r="35" spans="1:12" ht="22.95" customHeight="1" x14ac:dyDescent="0.3">
      <c r="A35" s="3">
        <v>32</v>
      </c>
      <c r="B35" s="89" t="str">
        <f>'SALES &amp; RATE'!B35</f>
        <v>HERCULES RUM</v>
      </c>
      <c r="C35" s="184">
        <f>'TOTAL STOCK'!C35</f>
        <v>0</v>
      </c>
      <c r="D35" s="185">
        <f>'TOTAL STOCK'!D35</f>
        <v>5</v>
      </c>
      <c r="E35" s="184">
        <f>'TOTAL STOCK'!E35</f>
        <v>0</v>
      </c>
      <c r="F35" s="185">
        <v>19</v>
      </c>
      <c r="G35" s="184">
        <v>0</v>
      </c>
      <c r="H35" s="185">
        <f>'TOTAL STOCK'!H35</f>
        <v>54</v>
      </c>
      <c r="I35" s="186">
        <f>'TOTAL STOCK'!I35</f>
        <v>0</v>
      </c>
      <c r="J35" s="187">
        <f>'TOTAL STOCK'!J35</f>
        <v>0</v>
      </c>
      <c r="K35" s="186">
        <f>'TOTAL STOCK'!K35</f>
        <v>0</v>
      </c>
      <c r="L35" s="188">
        <f>'TOTAL STOCK'!L35</f>
        <v>0</v>
      </c>
    </row>
    <row r="36" spans="1:12" ht="22.95" customHeight="1" x14ac:dyDescent="0.3">
      <c r="A36" s="3">
        <v>33</v>
      </c>
      <c r="B36" s="89" t="str">
        <f>'SALES &amp; RATE'!B36</f>
        <v>M C RUM</v>
      </c>
      <c r="C36" s="184">
        <f>'TOTAL STOCK'!C36</f>
        <v>0</v>
      </c>
      <c r="D36" s="185">
        <f>'TOTAL STOCK'!D36</f>
        <v>7</v>
      </c>
      <c r="E36" s="184">
        <f>'TOTAL STOCK'!E36</f>
        <v>0</v>
      </c>
      <c r="F36" s="185">
        <f>'TOTAL STOCK'!F36</f>
        <v>19</v>
      </c>
      <c r="G36" s="184">
        <f>'TOTAL STOCK'!G36</f>
        <v>0</v>
      </c>
      <c r="H36" s="185">
        <f>'TOTAL STOCK'!H36</f>
        <v>0</v>
      </c>
      <c r="I36" s="186">
        <f>'TOTAL STOCK'!I36</f>
        <v>0</v>
      </c>
      <c r="J36" s="187">
        <f>'TOTAL STOCK'!J36</f>
        <v>0</v>
      </c>
      <c r="K36" s="186">
        <f>'TOTAL STOCK'!K36</f>
        <v>0</v>
      </c>
      <c r="L36" s="188">
        <f>'TOTAL STOCK'!L36</f>
        <v>0</v>
      </c>
    </row>
    <row r="37" spans="1:12" ht="22.95" customHeight="1" x14ac:dyDescent="0.3">
      <c r="A37" s="3">
        <v>34</v>
      </c>
      <c r="B37" s="89" t="str">
        <f>'SALES &amp; RATE'!B37</f>
        <v>OLD MONK RUM</v>
      </c>
      <c r="C37" s="184">
        <f>'TOTAL STOCK'!C37</f>
        <v>0</v>
      </c>
      <c r="D37" s="185">
        <v>6</v>
      </c>
      <c r="E37" s="184">
        <f>'TOTAL STOCK'!E37</f>
        <v>1</v>
      </c>
      <c r="F37" s="185">
        <v>8</v>
      </c>
      <c r="G37" s="184">
        <v>8</v>
      </c>
      <c r="H37" s="185">
        <v>55</v>
      </c>
      <c r="I37" s="186">
        <v>5</v>
      </c>
      <c r="J37" s="187">
        <v>42</v>
      </c>
      <c r="K37" s="186">
        <f>'TOTAL STOCK'!K37</f>
        <v>0</v>
      </c>
      <c r="L37" s="188">
        <f>'TOTAL STOCK'!L37</f>
        <v>0</v>
      </c>
    </row>
    <row r="38" spans="1:12" ht="22.95" customHeight="1" x14ac:dyDescent="0.3">
      <c r="A38" s="3">
        <v>35</v>
      </c>
      <c r="B38" s="89" t="str">
        <f>'SALES &amp; RATE'!B38</f>
        <v>MC RUM CLASSIC</v>
      </c>
      <c r="C38" s="184">
        <f>'TOTAL STOCK'!C38</f>
        <v>0</v>
      </c>
      <c r="D38" s="185">
        <f>'TOTAL STOCK'!D38</f>
        <v>0</v>
      </c>
      <c r="E38" s="184">
        <f>'TOTAL STOCK'!E38</f>
        <v>0</v>
      </c>
      <c r="F38" s="185">
        <f>'TOTAL STOCK'!F38</f>
        <v>0</v>
      </c>
      <c r="G38" s="184">
        <v>2</v>
      </c>
      <c r="H38" s="185">
        <v>41</v>
      </c>
      <c r="I38" s="186">
        <v>2</v>
      </c>
      <c r="J38" s="187">
        <v>115</v>
      </c>
      <c r="K38" s="186">
        <f>'TOTAL STOCK'!K38</f>
        <v>0</v>
      </c>
      <c r="L38" s="188">
        <f>'TOTAL STOCK'!L38</f>
        <v>0</v>
      </c>
    </row>
    <row r="39" spans="1:12" ht="22.95" customHeight="1" x14ac:dyDescent="0.3">
      <c r="A39" s="3">
        <v>36</v>
      </c>
      <c r="B39" s="89">
        <f>'SALES &amp; RATE'!B39</f>
        <v>0</v>
      </c>
      <c r="C39" s="184">
        <f>'TOTAL STOCK'!C39</f>
        <v>0</v>
      </c>
      <c r="D39" s="185">
        <f>'TOTAL STOCK'!D39</f>
        <v>0</v>
      </c>
      <c r="E39" s="184">
        <f>'TOTAL STOCK'!E39</f>
        <v>0</v>
      </c>
      <c r="F39" s="185">
        <f>'TOTAL STOCK'!F39</f>
        <v>0</v>
      </c>
      <c r="G39" s="184">
        <f>'TOTAL STOCK'!G39</f>
        <v>0</v>
      </c>
      <c r="H39" s="185">
        <f>'TOTAL STOCK'!H39</f>
        <v>0</v>
      </c>
      <c r="I39" s="186">
        <f>'TOTAL STOCK'!I39</f>
        <v>0</v>
      </c>
      <c r="J39" s="187">
        <f>'TOTAL STOCK'!J39</f>
        <v>0</v>
      </c>
      <c r="K39" s="186">
        <f>'TOTAL STOCK'!K39</f>
        <v>0</v>
      </c>
      <c r="L39" s="188">
        <f>'TOTAL STOCK'!L39</f>
        <v>0</v>
      </c>
    </row>
    <row r="40" spans="1:12" ht="22.95" customHeight="1" x14ac:dyDescent="0.3">
      <c r="A40" s="3">
        <v>37</v>
      </c>
      <c r="B40" s="89" t="str">
        <f>'SALES &amp; RATE'!B40</f>
        <v>BAGPIPER RUM</v>
      </c>
      <c r="C40" s="184">
        <f>'TOTAL STOCK'!C40</f>
        <v>0</v>
      </c>
      <c r="D40" s="185">
        <f>'TOTAL STOCK'!D40</f>
        <v>0</v>
      </c>
      <c r="E40" s="184">
        <f>'TOTAL STOCK'!E40</f>
        <v>0</v>
      </c>
      <c r="F40" s="185">
        <f>'TOTAL STOCK'!F40</f>
        <v>0</v>
      </c>
      <c r="G40" s="184">
        <v>4</v>
      </c>
      <c r="H40" s="185">
        <v>67</v>
      </c>
      <c r="I40" s="186">
        <f>'TOTAL STOCK'!I40</f>
        <v>5</v>
      </c>
      <c r="J40" s="187">
        <v>33</v>
      </c>
      <c r="K40" s="186">
        <f>'TOTAL STOCK'!K40</f>
        <v>0</v>
      </c>
      <c r="L40" s="188">
        <f>'TOTAL STOCK'!L40</f>
        <v>0</v>
      </c>
    </row>
    <row r="41" spans="1:12" ht="22.95" customHeight="1" x14ac:dyDescent="0.3">
      <c r="A41" s="3">
        <v>38</v>
      </c>
      <c r="B41" s="89" t="str">
        <f>'SALES &amp; RATE'!B41</f>
        <v>BACARDI  ORN+APP+LIM</v>
      </c>
      <c r="C41" s="184">
        <f>'TOTAL STOCK'!C41</f>
        <v>0</v>
      </c>
      <c r="D41" s="185">
        <f>'TOTAL STOCK'!D41</f>
        <v>2</v>
      </c>
      <c r="E41" s="184">
        <f>'TOTAL STOCK'!E41</f>
        <v>0</v>
      </c>
      <c r="F41" s="185">
        <f>'TOTAL STOCK'!F41</f>
        <v>7</v>
      </c>
      <c r="G41" s="184">
        <f>'TOTAL STOCK'!G41</f>
        <v>0</v>
      </c>
      <c r="H41" s="185">
        <v>31</v>
      </c>
      <c r="I41" s="186">
        <f>'TOTAL STOCK'!I41</f>
        <v>0</v>
      </c>
      <c r="J41" s="187">
        <f>'TOTAL STOCK'!J41</f>
        <v>0</v>
      </c>
      <c r="K41" s="186">
        <f>'TOTAL STOCK'!K41</f>
        <v>0</v>
      </c>
      <c r="L41" s="188">
        <v>16</v>
      </c>
    </row>
    <row r="42" spans="1:12" ht="22.95" customHeight="1" x14ac:dyDescent="0.3">
      <c r="A42" s="3">
        <v>39</v>
      </c>
      <c r="B42" s="89" t="str">
        <f>'SALES &amp; RATE'!B42</f>
        <v>LEGACY RUM</v>
      </c>
      <c r="C42" s="184">
        <f>'TOTAL STOCK'!C42</f>
        <v>0</v>
      </c>
      <c r="D42" s="185">
        <f>'TOTAL STOCK'!D42</f>
        <v>0</v>
      </c>
      <c r="E42" s="184">
        <f>'TOTAL STOCK'!E42</f>
        <v>0</v>
      </c>
      <c r="F42" s="185">
        <f>'TOTAL STOCK'!F42</f>
        <v>0</v>
      </c>
      <c r="G42" s="184">
        <f>'TOTAL STOCK'!G42</f>
        <v>4</v>
      </c>
      <c r="H42" s="185">
        <v>41</v>
      </c>
      <c r="I42" s="186">
        <f>'TOTAL STOCK'!I42</f>
        <v>0</v>
      </c>
      <c r="J42" s="187">
        <f>'TOTAL STOCK'!J42</f>
        <v>0</v>
      </c>
      <c r="K42" s="186">
        <f>'TOTAL STOCK'!K42</f>
        <v>0</v>
      </c>
      <c r="L42" s="188">
        <f>'TOTAL STOCK'!L42</f>
        <v>0</v>
      </c>
    </row>
    <row r="43" spans="1:12" ht="22.95" customHeight="1" x14ac:dyDescent="0.3">
      <c r="A43" s="3">
        <v>40</v>
      </c>
      <c r="B43" s="89" t="str">
        <f>'SALES &amp; RATE'!B43</f>
        <v>B'LORE RUM</v>
      </c>
      <c r="C43" s="184">
        <f>'TOTAL STOCK'!C43</f>
        <v>0</v>
      </c>
      <c r="D43" s="185">
        <f>'TOTAL STOCK'!D43</f>
        <v>0</v>
      </c>
      <c r="E43" s="184">
        <f>'TOTAL STOCK'!E43</f>
        <v>0</v>
      </c>
      <c r="F43" s="185">
        <f>'TOTAL STOCK'!F43</f>
        <v>0</v>
      </c>
      <c r="G43" s="184">
        <f>'TOTAL STOCK'!G43</f>
        <v>4</v>
      </c>
      <c r="H43" s="185">
        <v>111</v>
      </c>
      <c r="I43" s="186">
        <v>2</v>
      </c>
      <c r="J43" s="187">
        <v>48</v>
      </c>
      <c r="K43" s="186">
        <f>'TOTAL STOCK'!K43</f>
        <v>0</v>
      </c>
      <c r="L43" s="188">
        <f>'TOTAL STOCK'!L43</f>
        <v>0</v>
      </c>
    </row>
    <row r="44" spans="1:12" ht="22.95" customHeight="1" x14ac:dyDescent="0.3">
      <c r="A44" s="43">
        <v>41</v>
      </c>
      <c r="B44" s="89" t="str">
        <f>'SALES &amp; RATE'!B44</f>
        <v>AMRUT RUM</v>
      </c>
      <c r="C44" s="184">
        <f>'TOTAL STOCK'!C44</f>
        <v>0</v>
      </c>
      <c r="D44" s="185">
        <f>'TOTAL STOCK'!D44</f>
        <v>0</v>
      </c>
      <c r="E44" s="184">
        <f>'TOTAL STOCK'!E44</f>
        <v>0</v>
      </c>
      <c r="F44" s="185">
        <f>'TOTAL STOCK'!F44</f>
        <v>0</v>
      </c>
      <c r="G44" s="184">
        <v>2</v>
      </c>
      <c r="H44" s="185">
        <v>86</v>
      </c>
      <c r="I44" s="186">
        <v>3</v>
      </c>
      <c r="J44" s="187">
        <v>62</v>
      </c>
      <c r="K44" s="186">
        <f>'TOTAL STOCK'!K44</f>
        <v>0</v>
      </c>
      <c r="L44" s="188">
        <f>'TOTAL STOCK'!L44</f>
        <v>0</v>
      </c>
    </row>
    <row r="45" spans="1:12" ht="22.95" customHeight="1" x14ac:dyDescent="0.3">
      <c r="A45" s="3">
        <v>42</v>
      </c>
      <c r="B45" s="89" t="str">
        <f>'SALES &amp; RATE'!B45</f>
        <v>BLACK &amp; WHITE (8)YRS</v>
      </c>
      <c r="C45" s="184">
        <f>'TOTAL STOCK'!C45</f>
        <v>0</v>
      </c>
      <c r="D45" s="185">
        <f>'TOTAL STOCK'!D45</f>
        <v>0</v>
      </c>
      <c r="E45" s="184">
        <f>'TOTAL STOCK'!E45</f>
        <v>0</v>
      </c>
      <c r="F45" s="185">
        <f>'TOTAL STOCK'!F45</f>
        <v>0</v>
      </c>
      <c r="G45" s="184">
        <f>'TOTAL STOCK'!G45</f>
        <v>0</v>
      </c>
      <c r="H45" s="185">
        <v>10</v>
      </c>
      <c r="I45" s="186">
        <f>'TOTAL STOCK'!I45</f>
        <v>0</v>
      </c>
      <c r="J45" s="187">
        <f>'TOTAL STOCK'!J45</f>
        <v>0</v>
      </c>
      <c r="K45" s="186">
        <f>'TOTAL STOCK'!K45</f>
        <v>0</v>
      </c>
      <c r="L45" s="188">
        <v>0</v>
      </c>
    </row>
    <row r="46" spans="1:12" ht="22.95" customHeight="1" x14ac:dyDescent="0.3">
      <c r="A46" s="43">
        <v>43</v>
      </c>
      <c r="B46" s="89" t="str">
        <f>'SALES &amp; RATE'!B46</f>
        <v>COURIOR NEPOLIN BRANDY</v>
      </c>
      <c r="C46" s="184">
        <f>'TOTAL STOCK'!C46</f>
        <v>0</v>
      </c>
      <c r="D46" s="185">
        <v>0</v>
      </c>
      <c r="E46" s="184">
        <f>'TOTAL STOCK'!E46</f>
        <v>0</v>
      </c>
      <c r="F46" s="185">
        <f>'TOTAL STOCK'!F46</f>
        <v>0</v>
      </c>
      <c r="G46" s="184">
        <f>'TOTAL STOCK'!G46</f>
        <v>0</v>
      </c>
      <c r="H46" s="185">
        <v>25</v>
      </c>
      <c r="I46" s="186">
        <f>'TOTAL STOCK'!I46</f>
        <v>0</v>
      </c>
      <c r="J46" s="187">
        <f>'TOTAL STOCK'!J46</f>
        <v>0</v>
      </c>
      <c r="K46" s="186">
        <f>'TOTAL STOCK'!K46</f>
        <v>0</v>
      </c>
      <c r="L46" s="188">
        <f>'TOTAL STOCK'!L46</f>
        <v>22</v>
      </c>
    </row>
    <row r="47" spans="1:12" ht="22.95" customHeight="1" x14ac:dyDescent="0.3">
      <c r="A47" s="3">
        <v>44</v>
      </c>
      <c r="B47" s="89" t="str">
        <f>'SALES &amp; RATE'!B47</f>
        <v>FIREBALL</v>
      </c>
      <c r="C47" s="184">
        <f>'TOTAL STOCK'!C47</f>
        <v>0</v>
      </c>
      <c r="D47" s="185">
        <f>'TOTAL STOCK'!D47</f>
        <v>0</v>
      </c>
      <c r="E47" s="184">
        <f>'TOTAL STOCK'!E47</f>
        <v>0</v>
      </c>
      <c r="F47" s="185">
        <f>'TOTAL STOCK'!F47</f>
        <v>0</v>
      </c>
      <c r="G47" s="184">
        <f>'TOTAL STOCK'!G47</f>
        <v>0</v>
      </c>
      <c r="H47" s="185">
        <v>15</v>
      </c>
      <c r="I47" s="186">
        <f>'TOTAL STOCK'!I47</f>
        <v>0</v>
      </c>
      <c r="J47" s="187">
        <v>36</v>
      </c>
      <c r="K47" s="186">
        <f>'TOTAL STOCK'!K47</f>
        <v>0</v>
      </c>
      <c r="L47" s="188">
        <f>'TOTAL STOCK'!L47</f>
        <v>0</v>
      </c>
    </row>
    <row r="48" spans="1:12" ht="22.95" customHeight="1" x14ac:dyDescent="0.3">
      <c r="A48" s="43">
        <v>45</v>
      </c>
      <c r="B48" s="89" t="str">
        <f>'SALES &amp; RATE'!B48</f>
        <v>HONEY CUP BRANDY</v>
      </c>
      <c r="C48" s="184">
        <f>'TOTAL STOCK'!C48</f>
        <v>0</v>
      </c>
      <c r="D48" s="185">
        <f>'TOTAL STOCK'!D48</f>
        <v>0</v>
      </c>
      <c r="E48" s="184">
        <f>'TOTAL STOCK'!E48</f>
        <v>0</v>
      </c>
      <c r="F48" s="185">
        <f>'TOTAL STOCK'!F48</f>
        <v>0</v>
      </c>
      <c r="G48" s="184">
        <f>'TOTAL STOCK'!G48</f>
        <v>0</v>
      </c>
      <c r="H48" s="185">
        <f>'TOTAL STOCK'!H48</f>
        <v>0</v>
      </c>
      <c r="I48" s="186">
        <f>'TOTAL STOCK'!I48</f>
        <v>0</v>
      </c>
      <c r="J48" s="187">
        <v>57</v>
      </c>
      <c r="K48" s="186">
        <f>'TOTAL STOCK'!K48</f>
        <v>0</v>
      </c>
      <c r="L48" s="188">
        <f>'TOTAL STOCK'!L48</f>
        <v>0</v>
      </c>
    </row>
    <row r="49" spans="1:12" ht="22.95" customHeight="1" x14ac:dyDescent="0.3">
      <c r="A49" s="3">
        <v>46</v>
      </c>
      <c r="B49" s="89" t="str">
        <f>'SALES &amp; RATE'!B49</f>
        <v>ROULETTE BRANDY</v>
      </c>
      <c r="C49" s="184">
        <f>'TOTAL STOCK'!C49</f>
        <v>0</v>
      </c>
      <c r="D49" s="185">
        <f>'TOTAL STOCK'!D49</f>
        <v>0</v>
      </c>
      <c r="E49" s="184">
        <f>'TOTAL STOCK'!E49</f>
        <v>0</v>
      </c>
      <c r="F49" s="185">
        <f>'TOTAL STOCK'!F49</f>
        <v>0</v>
      </c>
      <c r="G49" s="184">
        <f>'TOTAL STOCK'!G49</f>
        <v>0</v>
      </c>
      <c r="H49" s="185">
        <f>'TOTAL STOCK'!H49</f>
        <v>0</v>
      </c>
      <c r="I49" s="186">
        <f>'TOTAL STOCK'!I49</f>
        <v>0</v>
      </c>
      <c r="J49" s="187">
        <f>'TOTAL STOCK'!J49</f>
        <v>0</v>
      </c>
      <c r="K49" s="186">
        <f>'TOTAL STOCK'!K49</f>
        <v>0</v>
      </c>
      <c r="L49" s="188">
        <f>'TOTAL STOCK'!L49</f>
        <v>0</v>
      </c>
    </row>
    <row r="50" spans="1:12" ht="22.95" customHeight="1" thickBot="1" x14ac:dyDescent="0.35">
      <c r="A50" s="41">
        <v>47</v>
      </c>
      <c r="B50" s="89">
        <f>'SALES &amp; RATE'!B50</f>
        <v>0</v>
      </c>
      <c r="C50" s="189">
        <f>'TOTAL STOCK'!C50</f>
        <v>0</v>
      </c>
      <c r="D50" s="190">
        <f>'TOTAL STOCK'!D50</f>
        <v>0</v>
      </c>
      <c r="E50" s="189">
        <f>'TOTAL STOCK'!E50</f>
        <v>0</v>
      </c>
      <c r="F50" s="190">
        <f>'TOTAL STOCK'!F50</f>
        <v>0</v>
      </c>
      <c r="G50" s="189">
        <f>'TOTAL STOCK'!G50</f>
        <v>0</v>
      </c>
      <c r="H50" s="190">
        <f>'TOTAL STOCK'!H50</f>
        <v>0</v>
      </c>
      <c r="I50" s="191">
        <f>'TOTAL STOCK'!I50</f>
        <v>0</v>
      </c>
      <c r="J50" s="192">
        <f>'TOTAL STOCK'!J50</f>
        <v>0</v>
      </c>
      <c r="K50" s="191">
        <f>'TOTAL STOCK'!K50</f>
        <v>0</v>
      </c>
      <c r="L50" s="193">
        <f>'TOTAL STOCK'!L50</f>
        <v>0</v>
      </c>
    </row>
    <row r="51" spans="1:12" ht="22.95" customHeight="1" thickBot="1" x14ac:dyDescent="0.35">
      <c r="A51" s="344" t="s">
        <v>113</v>
      </c>
      <c r="B51" s="345"/>
      <c r="C51" s="348" t="s">
        <v>117</v>
      </c>
      <c r="D51" s="349"/>
      <c r="E51" s="349"/>
      <c r="F51" s="349"/>
      <c r="G51" s="349"/>
      <c r="H51" s="349"/>
      <c r="I51" s="349"/>
      <c r="J51" s="349"/>
      <c r="K51" s="349"/>
      <c r="L51" s="350"/>
    </row>
    <row r="52" spans="1:12" ht="22.95" customHeight="1" x14ac:dyDescent="0.3">
      <c r="A52" s="346"/>
      <c r="B52" s="347"/>
      <c r="C52" s="235" t="s">
        <v>4</v>
      </c>
      <c r="D52" s="236"/>
      <c r="E52" s="235" t="s">
        <v>5</v>
      </c>
      <c r="F52" s="236"/>
      <c r="G52" s="235" t="s">
        <v>6</v>
      </c>
      <c r="H52" s="236"/>
      <c r="I52" s="239" t="s">
        <v>7</v>
      </c>
      <c r="J52" s="242"/>
      <c r="K52" s="239" t="s">
        <v>8</v>
      </c>
      <c r="L52" s="240"/>
    </row>
    <row r="53" spans="1:12" ht="22.95" customHeight="1" x14ac:dyDescent="0.3">
      <c r="A53" s="169" t="s">
        <v>9</v>
      </c>
      <c r="B53" s="170" t="s">
        <v>13</v>
      </c>
      <c r="C53" s="161" t="s">
        <v>2</v>
      </c>
      <c r="D53" s="164" t="s">
        <v>3</v>
      </c>
      <c r="E53" s="161" t="s">
        <v>10</v>
      </c>
      <c r="F53" s="164" t="s">
        <v>3</v>
      </c>
      <c r="G53" s="161" t="s">
        <v>11</v>
      </c>
      <c r="H53" s="164" t="s">
        <v>3</v>
      </c>
      <c r="I53" s="167" t="s">
        <v>12</v>
      </c>
      <c r="J53" s="166" t="s">
        <v>3</v>
      </c>
      <c r="K53" s="167" t="s">
        <v>77</v>
      </c>
      <c r="L53" s="168" t="s">
        <v>3</v>
      </c>
    </row>
    <row r="54" spans="1:12" ht="22.95" customHeight="1" x14ac:dyDescent="0.3">
      <c r="A54" s="3">
        <v>1</v>
      </c>
      <c r="B54" s="89" t="str">
        <f>'SALES &amp; RATE'!B54</f>
        <v>CARNIVAL GIN</v>
      </c>
      <c r="C54" s="184">
        <f>'TOTAL STOCK'!C54</f>
        <v>0</v>
      </c>
      <c r="D54" s="185">
        <f>'TOTAL STOCK'!D54</f>
        <v>0</v>
      </c>
      <c r="E54" s="184">
        <f>'TOTAL STOCK'!E54</f>
        <v>0</v>
      </c>
      <c r="F54" s="185">
        <f>'TOTAL STOCK'!F54</f>
        <v>0</v>
      </c>
      <c r="G54" s="184">
        <v>0</v>
      </c>
      <c r="H54" s="185">
        <v>46</v>
      </c>
      <c r="I54" s="186">
        <f>'TOTAL STOCK'!I54</f>
        <v>0</v>
      </c>
      <c r="J54" s="187">
        <v>5</v>
      </c>
      <c r="K54" s="186">
        <f>'TOTAL STOCK'!K54</f>
        <v>0</v>
      </c>
      <c r="L54" s="188">
        <f>'TOTAL STOCK'!L54</f>
        <v>0</v>
      </c>
    </row>
    <row r="55" spans="1:12" ht="22.95" customHeight="1" x14ac:dyDescent="0.3">
      <c r="A55" s="3">
        <v>2</v>
      </c>
      <c r="B55" s="89" t="str">
        <f>'SALES &amp; RATE'!B55</f>
        <v>SMIRNOFF VODKA</v>
      </c>
      <c r="C55" s="184">
        <f>'TOTAL STOCK'!C55</f>
        <v>0</v>
      </c>
      <c r="D55" s="185">
        <f>'TOTAL STOCK'!D55</f>
        <v>4</v>
      </c>
      <c r="E55" s="184">
        <f>'TOTAL STOCK'!E55</f>
        <v>0</v>
      </c>
      <c r="F55" s="185">
        <f>'TOTAL STOCK'!F55</f>
        <v>0</v>
      </c>
      <c r="G55" s="184">
        <f>'TOTAL STOCK'!G55</f>
        <v>0</v>
      </c>
      <c r="H55" s="185">
        <v>52</v>
      </c>
      <c r="I55" s="186">
        <f>'TOTAL STOCK'!I55</f>
        <v>0</v>
      </c>
      <c r="J55" s="187">
        <f>'TOTAL STOCK'!J55</f>
        <v>0</v>
      </c>
      <c r="K55" s="186">
        <f>'TOTAL STOCK'!K55</f>
        <v>0</v>
      </c>
      <c r="L55" s="188">
        <v>20</v>
      </c>
    </row>
    <row r="56" spans="1:12" ht="22.95" customHeight="1" x14ac:dyDescent="0.3">
      <c r="A56" s="3">
        <v>3</v>
      </c>
      <c r="B56" s="89" t="str">
        <f>'SALES &amp; RATE'!B56</f>
        <v>MUSCOVY LEMON</v>
      </c>
      <c r="C56" s="184">
        <f>'TOTAL STOCK'!C56</f>
        <v>0</v>
      </c>
      <c r="D56" s="185">
        <f>'TOTAL STOCK'!D56</f>
        <v>0</v>
      </c>
      <c r="E56" s="184">
        <f>'TOTAL STOCK'!E56</f>
        <v>0</v>
      </c>
      <c r="F56" s="185">
        <f>'TOTAL STOCK'!F56</f>
        <v>0</v>
      </c>
      <c r="G56" s="184">
        <f>'TOTAL STOCK'!G56</f>
        <v>0</v>
      </c>
      <c r="H56" s="185">
        <f>'TOTAL STOCK'!H56</f>
        <v>48</v>
      </c>
      <c r="I56" s="186">
        <f>'TOTAL STOCK'!I56</f>
        <v>0</v>
      </c>
      <c r="J56" s="187">
        <f>'TOTAL STOCK'!J56</f>
        <v>0</v>
      </c>
      <c r="K56" s="186">
        <f>'TOTAL STOCK'!K56</f>
        <v>0</v>
      </c>
      <c r="L56" s="188">
        <f>'TOTAL STOCK'!L56</f>
        <v>0</v>
      </c>
    </row>
    <row r="57" spans="1:12" ht="22.95" customHeight="1" x14ac:dyDescent="0.3">
      <c r="A57" s="3">
        <v>4</v>
      </c>
      <c r="B57" s="89" t="str">
        <f>'SALES &amp; RATE'!B57</f>
        <v>MUSCOVY VODKA</v>
      </c>
      <c r="C57" s="184">
        <f>'TOTAL STOCK'!C57</f>
        <v>0</v>
      </c>
      <c r="D57" s="185">
        <f>'TOTAL STOCK'!D57</f>
        <v>0</v>
      </c>
      <c r="E57" s="184">
        <f>'TOTAL STOCK'!E57</f>
        <v>0</v>
      </c>
      <c r="F57" s="185">
        <f>'TOTAL STOCK'!F57</f>
        <v>0</v>
      </c>
      <c r="G57" s="184">
        <v>2</v>
      </c>
      <c r="H57" s="185">
        <v>55</v>
      </c>
      <c r="I57" s="186">
        <v>0</v>
      </c>
      <c r="J57" s="187">
        <v>105</v>
      </c>
      <c r="K57" s="186">
        <f>'TOTAL STOCK'!K57</f>
        <v>0</v>
      </c>
      <c r="L57" s="188">
        <f>'TOTAL STOCK'!L57</f>
        <v>0</v>
      </c>
    </row>
    <row r="58" spans="1:12" ht="22.95" customHeight="1" x14ac:dyDescent="0.3">
      <c r="A58" s="3">
        <v>5</v>
      </c>
      <c r="B58" s="89" t="str">
        <f>'SALES &amp; RATE'!B58</f>
        <v>ROMANOV VODKA</v>
      </c>
      <c r="C58" s="184">
        <f>'TOTAL STOCK'!C58</f>
        <v>0</v>
      </c>
      <c r="D58" s="185">
        <f>'TOTAL STOCK'!D58</f>
        <v>0</v>
      </c>
      <c r="E58" s="184">
        <f>'TOTAL STOCK'!E58</f>
        <v>0</v>
      </c>
      <c r="F58" s="185">
        <f>'TOTAL STOCK'!F58</f>
        <v>0</v>
      </c>
      <c r="G58" s="184">
        <f>'TOTAL STOCK'!G58</f>
        <v>1</v>
      </c>
      <c r="H58" s="185">
        <v>41</v>
      </c>
      <c r="I58" s="186">
        <f>'TOTAL STOCK'!I58</f>
        <v>1</v>
      </c>
      <c r="J58" s="187">
        <v>88</v>
      </c>
      <c r="K58" s="186">
        <f>'TOTAL STOCK'!K58</f>
        <v>0</v>
      </c>
      <c r="L58" s="188">
        <f>'TOTAL STOCK'!L58</f>
        <v>0</v>
      </c>
    </row>
    <row r="59" spans="1:12" ht="22.95" customHeight="1" x14ac:dyDescent="0.3">
      <c r="A59" s="3">
        <v>6</v>
      </c>
      <c r="B59" s="89" t="str">
        <f>'SALES &amp; RATE'!B59</f>
        <v>GONAS WINE</v>
      </c>
      <c r="C59" s="184">
        <f>'TOTAL STOCK'!C59</f>
        <v>0</v>
      </c>
      <c r="D59" s="185">
        <f>'TOTAL STOCK'!D59</f>
        <v>0</v>
      </c>
      <c r="E59" s="184">
        <f>'TOTAL STOCK'!E59</f>
        <v>0</v>
      </c>
      <c r="F59" s="185">
        <f>'TOTAL STOCK'!F59</f>
        <v>0</v>
      </c>
      <c r="G59" s="184">
        <f>'TOTAL STOCK'!G59</f>
        <v>0</v>
      </c>
      <c r="H59" s="185">
        <v>24</v>
      </c>
      <c r="I59" s="186">
        <f>'TOTAL STOCK'!I59</f>
        <v>0</v>
      </c>
      <c r="J59" s="187">
        <f>'TOTAL STOCK'!J59</f>
        <v>0</v>
      </c>
      <c r="K59" s="186">
        <f>'TOTAL STOCK'!K59</f>
        <v>0</v>
      </c>
      <c r="L59" s="188">
        <f>'TOTAL STOCK'!L59</f>
        <v>0</v>
      </c>
    </row>
    <row r="60" spans="1:12" ht="22.95" customHeight="1" x14ac:dyDescent="0.3">
      <c r="A60" s="3">
        <v>7</v>
      </c>
      <c r="B60" s="89" t="str">
        <f>'SALES &amp; RATE'!B60</f>
        <v>MAGIC PORT WINE</v>
      </c>
      <c r="C60" s="184">
        <f>'TOTAL STOCK'!C60</f>
        <v>0</v>
      </c>
      <c r="D60" s="185">
        <v>18</v>
      </c>
      <c r="E60" s="184">
        <f>'TOTAL STOCK'!E60</f>
        <v>0</v>
      </c>
      <c r="F60" s="185">
        <v>21</v>
      </c>
      <c r="G60" s="184">
        <f>'TOTAL STOCK'!G60</f>
        <v>0</v>
      </c>
      <c r="H60" s="185">
        <v>0</v>
      </c>
      <c r="I60" s="186">
        <f>'TOTAL STOCK'!I60</f>
        <v>0</v>
      </c>
      <c r="J60" s="187">
        <f>'TOTAL STOCK'!J60</f>
        <v>0</v>
      </c>
      <c r="K60" s="186">
        <f>'TOTAL STOCK'!K60</f>
        <v>0</v>
      </c>
      <c r="L60" s="188">
        <f>'TOTAL STOCK'!L60</f>
        <v>0</v>
      </c>
    </row>
    <row r="61" spans="1:12" ht="22.95" customHeight="1" x14ac:dyDescent="0.3">
      <c r="A61" s="3">
        <v>8</v>
      </c>
      <c r="B61" s="89" t="str">
        <f>'SALES &amp; RATE'!B61</f>
        <v>SIDDUS WINE</v>
      </c>
      <c r="C61" s="184">
        <f>'TOTAL STOCK'!C61</f>
        <v>0</v>
      </c>
      <c r="D61" s="185">
        <v>1</v>
      </c>
      <c r="E61" s="184">
        <f>'TOTAL STOCK'!E61</f>
        <v>0</v>
      </c>
      <c r="F61" s="185">
        <v>0</v>
      </c>
      <c r="G61" s="184">
        <f>'TOTAL STOCK'!G61</f>
        <v>0</v>
      </c>
      <c r="H61" s="185">
        <v>32</v>
      </c>
      <c r="I61" s="186">
        <f>'TOTAL STOCK'!I61</f>
        <v>0</v>
      </c>
      <c r="J61" s="187">
        <f>'TOTAL STOCK'!J61</f>
        <v>0</v>
      </c>
      <c r="K61" s="186">
        <f>'TOTAL STOCK'!K61</f>
        <v>0</v>
      </c>
      <c r="L61" s="188">
        <f>'TOTAL STOCK'!L61</f>
        <v>0</v>
      </c>
    </row>
    <row r="62" spans="1:12" ht="22.95" customHeight="1" x14ac:dyDescent="0.3">
      <c r="A62" s="3">
        <v>9</v>
      </c>
      <c r="B62" s="89" t="str">
        <f>'SALES &amp; RATE'!B62</f>
        <v>VEGA WINE</v>
      </c>
      <c r="C62" s="184">
        <f>'TOTAL STOCK'!C62</f>
        <v>0</v>
      </c>
      <c r="D62" s="185">
        <f>'TOTAL STOCK'!D62</f>
        <v>0</v>
      </c>
      <c r="E62" s="184">
        <f>'TOTAL STOCK'!E62</f>
        <v>0</v>
      </c>
      <c r="F62" s="185">
        <f>'TOTAL STOCK'!F62</f>
        <v>13</v>
      </c>
      <c r="G62" s="184">
        <f>'TOTAL STOCK'!G62</f>
        <v>0</v>
      </c>
      <c r="H62" s="185">
        <f>'TOTAL STOCK'!H62</f>
        <v>0</v>
      </c>
      <c r="I62" s="186">
        <f>'TOTAL STOCK'!I62</f>
        <v>0</v>
      </c>
      <c r="J62" s="187">
        <f>'TOTAL STOCK'!J62</f>
        <v>0</v>
      </c>
      <c r="K62" s="186">
        <f>'TOTAL STOCK'!K62</f>
        <v>0</v>
      </c>
      <c r="L62" s="188">
        <f>'TOTAL STOCK'!L62</f>
        <v>0</v>
      </c>
    </row>
    <row r="63" spans="1:12" ht="22.95" customHeight="1" x14ac:dyDescent="0.3">
      <c r="A63" s="3">
        <v>10</v>
      </c>
      <c r="B63" s="89">
        <f>'SALES &amp; RATE'!B63</f>
        <v>0</v>
      </c>
      <c r="C63" s="184">
        <f>'TOTAL STOCK'!C63</f>
        <v>0</v>
      </c>
      <c r="D63" s="185">
        <f>'TOTAL STOCK'!D63</f>
        <v>0</v>
      </c>
      <c r="E63" s="184">
        <f>'TOTAL STOCK'!E63</f>
        <v>0</v>
      </c>
      <c r="F63" s="185">
        <f>'TOTAL STOCK'!F63</f>
        <v>0</v>
      </c>
      <c r="G63" s="184">
        <f>'TOTAL STOCK'!G63</f>
        <v>0</v>
      </c>
      <c r="H63" s="185">
        <f>'TOTAL STOCK'!H63</f>
        <v>0</v>
      </c>
      <c r="I63" s="186">
        <f>'TOTAL STOCK'!I63</f>
        <v>0</v>
      </c>
      <c r="J63" s="187">
        <f>'TOTAL STOCK'!J63</f>
        <v>0</v>
      </c>
      <c r="K63" s="186">
        <f>'TOTAL STOCK'!K63</f>
        <v>0</v>
      </c>
      <c r="L63" s="188">
        <f>'TOTAL STOCK'!L63</f>
        <v>0</v>
      </c>
    </row>
    <row r="64" spans="1:12" ht="22.95" customHeight="1" x14ac:dyDescent="0.3">
      <c r="A64" s="3">
        <v>11</v>
      </c>
      <c r="B64" s="89" t="str">
        <f>'SALES &amp; RATE'!B64</f>
        <v>MAGIC MOMENTS</v>
      </c>
      <c r="C64" s="184">
        <f>'TOTAL STOCK'!C64</f>
        <v>0</v>
      </c>
      <c r="D64" s="185">
        <f>'TOTAL STOCK'!D64</f>
        <v>2</v>
      </c>
      <c r="E64" s="184">
        <f>'TOTAL STOCK'!E64</f>
        <v>0</v>
      </c>
      <c r="F64" s="185">
        <f>'TOTAL STOCK'!F64</f>
        <v>0</v>
      </c>
      <c r="G64" s="184">
        <v>0</v>
      </c>
      <c r="H64" s="185">
        <v>31</v>
      </c>
      <c r="I64" s="186">
        <f>'TOTAL STOCK'!I64</f>
        <v>0</v>
      </c>
      <c r="J64" s="187">
        <f>'TOTAL STOCK'!J64</f>
        <v>0</v>
      </c>
      <c r="K64" s="186">
        <v>0</v>
      </c>
      <c r="L64" s="188">
        <v>26</v>
      </c>
    </row>
    <row r="65" spans="1:13" ht="22.95" customHeight="1" x14ac:dyDescent="0.3">
      <c r="A65" s="3">
        <v>12</v>
      </c>
      <c r="B65" s="89" t="str">
        <f>'SALES &amp; RATE'!B65</f>
        <v>BRO CODE</v>
      </c>
      <c r="C65" s="184">
        <f>'TOTAL STOCK'!C65</f>
        <v>0</v>
      </c>
      <c r="D65" s="185">
        <f>'TOTAL STOCK'!D65</f>
        <v>0</v>
      </c>
      <c r="E65" s="184">
        <f>'TOTAL STOCK'!E65</f>
        <v>0</v>
      </c>
      <c r="F65" s="185">
        <v>0</v>
      </c>
      <c r="G65" s="184">
        <f>'TOTAL STOCK'!G65</f>
        <v>0</v>
      </c>
      <c r="H65" s="185">
        <f>'TOTAL STOCK'!H65</f>
        <v>0</v>
      </c>
      <c r="I65" s="186">
        <f>'TOTAL STOCK'!I65</f>
        <v>0</v>
      </c>
      <c r="J65" s="187">
        <f>'TOTAL STOCK'!J65</f>
        <v>0</v>
      </c>
      <c r="K65" s="186">
        <f>'TOTAL STOCK'!K65</f>
        <v>0</v>
      </c>
      <c r="L65" s="188">
        <f>'TOTAL STOCK'!L65</f>
        <v>0</v>
      </c>
    </row>
    <row r="66" spans="1:13" ht="22.95" customHeight="1" x14ac:dyDescent="0.3">
      <c r="A66" s="3">
        <v>13</v>
      </c>
      <c r="B66" s="89" t="str">
        <f>'SALES &amp; RATE'!B66</f>
        <v>TANGO RED WINE</v>
      </c>
      <c r="C66" s="184">
        <f>'TOTAL STOCK'!C66</f>
        <v>0</v>
      </c>
      <c r="D66" s="185">
        <f>'TOTAL STOCK'!D66</f>
        <v>0</v>
      </c>
      <c r="E66" s="184">
        <f>'TOTAL STOCK'!E66</f>
        <v>0</v>
      </c>
      <c r="F66" s="185">
        <f>'TOTAL STOCK'!F66</f>
        <v>0</v>
      </c>
      <c r="G66" s="184">
        <f>'TOTAL STOCK'!G66</f>
        <v>0</v>
      </c>
      <c r="H66" s="185">
        <f>'TOTAL STOCK'!H66</f>
        <v>0</v>
      </c>
      <c r="I66" s="186">
        <f>'TOTAL STOCK'!I66</f>
        <v>0</v>
      </c>
      <c r="J66" s="187">
        <f>'TOTAL STOCK'!J66</f>
        <v>0</v>
      </c>
      <c r="K66" s="186">
        <f>'TOTAL STOCK'!K66</f>
        <v>0</v>
      </c>
      <c r="L66" s="188">
        <f>'TOTAL STOCK'!L66</f>
        <v>0</v>
      </c>
    </row>
    <row r="67" spans="1:13" ht="22.95" customHeight="1" x14ac:dyDescent="0.3">
      <c r="A67" s="3">
        <v>14</v>
      </c>
      <c r="B67" s="89" t="str">
        <f>'SALES &amp; RATE'!B67</f>
        <v>BUZZ BALL</v>
      </c>
      <c r="C67" s="184">
        <f>'TOTAL STOCK'!C67</f>
        <v>0</v>
      </c>
      <c r="D67" s="185">
        <f>'TOTAL STOCK'!D67</f>
        <v>0</v>
      </c>
      <c r="E67" s="184">
        <f>'TOTAL STOCK'!E67</f>
        <v>0</v>
      </c>
      <c r="F67" s="185">
        <f>'TOTAL STOCK'!F67</f>
        <v>0</v>
      </c>
      <c r="G67" s="184">
        <v>0</v>
      </c>
      <c r="H67" s="185">
        <f>'TOTAL STOCK'!H67</f>
        <v>0</v>
      </c>
      <c r="I67" s="186">
        <f>'TOTAL STOCK'!I67</f>
        <v>0</v>
      </c>
      <c r="J67" s="187">
        <f>'TOTAL STOCK'!J67</f>
        <v>0</v>
      </c>
      <c r="K67" s="186">
        <f>'TOTAL STOCK'!K67</f>
        <v>0</v>
      </c>
      <c r="L67" s="188">
        <f>'TOTAL STOCK'!L67</f>
        <v>0</v>
      </c>
    </row>
    <row r="68" spans="1:13" ht="22.95" customHeight="1" x14ac:dyDescent="0.3">
      <c r="A68" s="3">
        <v>15</v>
      </c>
      <c r="B68" s="89">
        <f>'SALES &amp; RATE'!B68</f>
        <v>0</v>
      </c>
      <c r="C68" s="184">
        <f>'TOTAL STOCK'!C68</f>
        <v>0</v>
      </c>
      <c r="D68" s="185">
        <f>'TOTAL STOCK'!D68</f>
        <v>0</v>
      </c>
      <c r="E68" s="184">
        <f>'TOTAL STOCK'!E68</f>
        <v>0</v>
      </c>
      <c r="F68" s="185">
        <f>'TOTAL STOCK'!F68</f>
        <v>0</v>
      </c>
      <c r="G68" s="184">
        <f>'TOTAL STOCK'!G68</f>
        <v>0</v>
      </c>
      <c r="H68" s="185">
        <f>'TOTAL STOCK'!H68</f>
        <v>0</v>
      </c>
      <c r="I68" s="186">
        <f>'TOTAL STOCK'!I68</f>
        <v>0</v>
      </c>
      <c r="J68" s="187">
        <f>'TOTAL STOCK'!J68</f>
        <v>0</v>
      </c>
      <c r="K68" s="186">
        <f>'TOTAL STOCK'!K68</f>
        <v>0</v>
      </c>
      <c r="L68" s="188">
        <f>'TOTAL STOCK'!L68</f>
        <v>0</v>
      </c>
    </row>
    <row r="69" spans="1:13" ht="22.95" customHeight="1" x14ac:dyDescent="0.3">
      <c r="A69" s="3">
        <v>16</v>
      </c>
      <c r="B69" s="89">
        <f>'SALES &amp; RATE'!B69</f>
        <v>0</v>
      </c>
      <c r="C69" s="184">
        <f>'TOTAL STOCK'!C69</f>
        <v>0</v>
      </c>
      <c r="D69" s="185">
        <f>'TOTAL STOCK'!D69</f>
        <v>0</v>
      </c>
      <c r="E69" s="184">
        <f>'TOTAL STOCK'!E69</f>
        <v>0</v>
      </c>
      <c r="F69" s="185">
        <f>'TOTAL STOCK'!F69</f>
        <v>0</v>
      </c>
      <c r="G69" s="184">
        <f>'TOTAL STOCK'!G69</f>
        <v>0</v>
      </c>
      <c r="H69" s="185">
        <f>'TOTAL STOCK'!H69</f>
        <v>0</v>
      </c>
      <c r="I69" s="186">
        <f>'TOTAL STOCK'!I69</f>
        <v>0</v>
      </c>
      <c r="J69" s="187">
        <f>'TOTAL STOCK'!J69</f>
        <v>0</v>
      </c>
      <c r="K69" s="186">
        <f>'TOTAL STOCK'!K69</f>
        <v>0</v>
      </c>
      <c r="L69" s="188">
        <f>'TOTAL STOCK'!L69</f>
        <v>0</v>
      </c>
    </row>
    <row r="70" spans="1:13" ht="22.95" customHeight="1" x14ac:dyDescent="0.3">
      <c r="A70" s="3">
        <v>17</v>
      </c>
      <c r="B70" s="89">
        <f>'SALES &amp; RATE'!B70</f>
        <v>0</v>
      </c>
      <c r="C70" s="184">
        <f>'TOTAL STOCK'!C70</f>
        <v>0</v>
      </c>
      <c r="D70" s="185">
        <f>'TOTAL STOCK'!D70</f>
        <v>0</v>
      </c>
      <c r="E70" s="184">
        <f>'TOTAL STOCK'!E70</f>
        <v>0</v>
      </c>
      <c r="F70" s="185">
        <f>'TOTAL STOCK'!F70</f>
        <v>0</v>
      </c>
      <c r="G70" s="184">
        <f>'TOTAL STOCK'!G70</f>
        <v>0</v>
      </c>
      <c r="H70" s="185">
        <f>'TOTAL STOCK'!H70</f>
        <v>0</v>
      </c>
      <c r="I70" s="186">
        <f>'TOTAL STOCK'!I70</f>
        <v>0</v>
      </c>
      <c r="J70" s="187">
        <f>'TOTAL STOCK'!J70</f>
        <v>0</v>
      </c>
      <c r="K70" s="186">
        <f>'TOTAL STOCK'!K70</f>
        <v>0</v>
      </c>
      <c r="L70" s="188">
        <f>'TOTAL STOCK'!L70</f>
        <v>0</v>
      </c>
    </row>
    <row r="71" spans="1:13" ht="22.95" customHeight="1" thickBot="1" x14ac:dyDescent="0.35">
      <c r="A71" s="41">
        <v>18</v>
      </c>
      <c r="B71" s="89">
        <f>'SALES &amp; RATE'!B71</f>
        <v>0</v>
      </c>
      <c r="C71" s="189">
        <f>'TOTAL STOCK'!C71</f>
        <v>0</v>
      </c>
      <c r="D71" s="190">
        <f>'TOTAL STOCK'!D71</f>
        <v>0</v>
      </c>
      <c r="E71" s="189">
        <f>'TOTAL STOCK'!E71</f>
        <v>0</v>
      </c>
      <c r="F71" s="190">
        <f>'TOTAL STOCK'!F71</f>
        <v>0</v>
      </c>
      <c r="G71" s="189">
        <f>'TOTAL STOCK'!G71</f>
        <v>0</v>
      </c>
      <c r="H71" s="190">
        <f>'TOTAL STOCK'!H71</f>
        <v>0</v>
      </c>
      <c r="I71" s="191">
        <f>'TOTAL STOCK'!I71</f>
        <v>0</v>
      </c>
      <c r="J71" s="192">
        <f>'TOTAL STOCK'!J71</f>
        <v>0</v>
      </c>
      <c r="K71" s="191">
        <f>'TOTAL STOCK'!K71</f>
        <v>0</v>
      </c>
      <c r="L71" s="193">
        <f>'TOTAL STOCK'!L71</f>
        <v>0</v>
      </c>
    </row>
    <row r="72" spans="1:13" ht="22.95" customHeight="1" thickBot="1" x14ac:dyDescent="0.35">
      <c r="A72" s="334" t="s">
        <v>14</v>
      </c>
      <c r="B72" s="335"/>
      <c r="C72" s="338" t="s">
        <v>83</v>
      </c>
      <c r="D72" s="339"/>
      <c r="E72" s="339"/>
      <c r="F72" s="339"/>
      <c r="G72" s="339"/>
      <c r="H72" s="339"/>
      <c r="I72" s="339"/>
      <c r="J72" s="339"/>
      <c r="K72" s="342"/>
      <c r="L72" s="343"/>
    </row>
    <row r="73" spans="1:13" ht="22.95" customHeight="1" thickBot="1" x14ac:dyDescent="0.35">
      <c r="A73" s="336"/>
      <c r="B73" s="337"/>
      <c r="C73" s="224" t="s">
        <v>15</v>
      </c>
      <c r="D73" s="225"/>
      <c r="E73" s="224" t="s">
        <v>68</v>
      </c>
      <c r="F73" s="225"/>
      <c r="G73" s="224" t="s">
        <v>16</v>
      </c>
      <c r="H73" s="225"/>
      <c r="I73" s="224" t="s">
        <v>69</v>
      </c>
      <c r="J73" s="226"/>
      <c r="K73" s="269"/>
      <c r="L73" s="251"/>
      <c r="M73" s="67" t="s">
        <v>104</v>
      </c>
    </row>
    <row r="74" spans="1:13" ht="22.95" customHeight="1" x14ac:dyDescent="0.3">
      <c r="A74" s="37" t="s">
        <v>9</v>
      </c>
      <c r="B74" s="38" t="s">
        <v>13</v>
      </c>
      <c r="C74" s="5" t="s">
        <v>2</v>
      </c>
      <c r="D74" s="8" t="s">
        <v>3</v>
      </c>
      <c r="E74" s="5" t="s">
        <v>10</v>
      </c>
      <c r="F74" s="8" t="s">
        <v>3</v>
      </c>
      <c r="G74" s="5" t="s">
        <v>10</v>
      </c>
      <c r="H74" s="8" t="s">
        <v>3</v>
      </c>
      <c r="I74" s="5" t="s">
        <v>10</v>
      </c>
      <c r="J74" s="6" t="s">
        <v>3</v>
      </c>
      <c r="K74" s="94"/>
      <c r="L74" s="28"/>
      <c r="M74" s="66" t="s">
        <v>21</v>
      </c>
    </row>
    <row r="75" spans="1:13" ht="22.95" customHeight="1" thickBot="1" x14ac:dyDescent="0.35">
      <c r="A75" s="3">
        <v>1</v>
      </c>
      <c r="B75" s="89" t="str">
        <f>'SALES &amp; RATE'!B75</f>
        <v>K.F PREMIUM</v>
      </c>
      <c r="C75" s="184">
        <v>0</v>
      </c>
      <c r="D75" s="185">
        <v>0</v>
      </c>
      <c r="E75" s="184">
        <f>'TOTAL STOCK'!E75</f>
        <v>0</v>
      </c>
      <c r="F75" s="185">
        <f>'TOTAL STOCK'!F75</f>
        <v>0</v>
      </c>
      <c r="G75" s="184">
        <f>'TOTAL STOCK'!G75</f>
        <v>0</v>
      </c>
      <c r="H75" s="185">
        <f>'TOTAL STOCK'!H75</f>
        <v>0</v>
      </c>
      <c r="I75" s="184">
        <f>'TOTAL STOCK'!I75</f>
        <v>0</v>
      </c>
      <c r="J75" s="194">
        <f>'TOTAL STOCK'!J75</f>
        <v>0</v>
      </c>
      <c r="K75" s="117"/>
      <c r="L75" s="118"/>
      <c r="M75" s="62">
        <v>95450</v>
      </c>
    </row>
    <row r="76" spans="1:13" ht="22.95" customHeight="1" x14ac:dyDescent="0.3">
      <c r="A76" s="3">
        <v>2</v>
      </c>
      <c r="B76" s="89" t="str">
        <f>'SALES &amp; RATE'!B76</f>
        <v>K.F STRONG</v>
      </c>
      <c r="C76" s="184">
        <v>58</v>
      </c>
      <c r="D76" s="185">
        <v>42</v>
      </c>
      <c r="E76" s="184">
        <v>0</v>
      </c>
      <c r="F76" s="185">
        <v>34</v>
      </c>
      <c r="G76" s="184">
        <v>0</v>
      </c>
      <c r="H76" s="185">
        <v>9</v>
      </c>
      <c r="I76" s="184">
        <v>0</v>
      </c>
      <c r="J76" s="194">
        <v>13</v>
      </c>
      <c r="K76" s="117"/>
      <c r="L76" s="118"/>
      <c r="M76" s="66" t="s">
        <v>22</v>
      </c>
    </row>
    <row r="77" spans="1:13" ht="22.95" customHeight="1" thickBot="1" x14ac:dyDescent="0.35">
      <c r="A77" s="3">
        <v>3</v>
      </c>
      <c r="B77" s="89" t="str">
        <f>'SALES &amp; RATE'!B77</f>
        <v>U.B EXPORT</v>
      </c>
      <c r="C77" s="184">
        <v>0</v>
      </c>
      <c r="D77" s="185">
        <v>27</v>
      </c>
      <c r="E77" s="184">
        <f>'TOTAL STOCK'!E77</f>
        <v>0</v>
      </c>
      <c r="F77" s="185">
        <f>'TOTAL STOCK'!F77</f>
        <v>0</v>
      </c>
      <c r="G77" s="184">
        <f>'TOTAL STOCK'!G77</f>
        <v>0</v>
      </c>
      <c r="H77" s="185">
        <f>'TOTAL STOCK'!H77</f>
        <v>0</v>
      </c>
      <c r="I77" s="184">
        <f>'TOTAL STOCK'!I77</f>
        <v>0</v>
      </c>
      <c r="J77" s="194">
        <f>'TOTAL STOCK'!J77</f>
        <v>0</v>
      </c>
      <c r="K77" s="117"/>
      <c r="L77" s="118"/>
      <c r="M77" s="62">
        <v>34750</v>
      </c>
    </row>
    <row r="78" spans="1:13" ht="22.95" customHeight="1" x14ac:dyDescent="0.3">
      <c r="A78" s="3">
        <v>4</v>
      </c>
      <c r="B78" s="89" t="str">
        <f>'SALES &amp; RATE'!B78</f>
        <v>KNOCK OUT</v>
      </c>
      <c r="C78" s="184">
        <v>0</v>
      </c>
      <c r="D78" s="185">
        <v>10</v>
      </c>
      <c r="E78" s="184">
        <f>'TOTAL STOCK'!E78</f>
        <v>0</v>
      </c>
      <c r="F78" s="185">
        <v>0</v>
      </c>
      <c r="G78" s="184">
        <v>0</v>
      </c>
      <c r="H78" s="185">
        <v>3</v>
      </c>
      <c r="I78" s="184">
        <f>'TOTAL STOCK'!I78</f>
        <v>0</v>
      </c>
      <c r="J78" s="194">
        <f>'TOTAL STOCK'!J78</f>
        <v>0</v>
      </c>
      <c r="K78" s="117"/>
      <c r="L78" s="118"/>
      <c r="M78" s="66" t="s">
        <v>23</v>
      </c>
    </row>
    <row r="79" spans="1:13" ht="22.95" customHeight="1" thickBot="1" x14ac:dyDescent="0.35">
      <c r="A79" s="3">
        <v>5</v>
      </c>
      <c r="B79" s="89" t="str">
        <f>'SALES &amp; RATE'!B79</f>
        <v>K.F STROM</v>
      </c>
      <c r="C79" s="184">
        <f>'TOTAL STOCK'!C79</f>
        <v>0</v>
      </c>
      <c r="D79" s="185">
        <f>'TOTAL STOCK'!D79</f>
        <v>0</v>
      </c>
      <c r="E79" s="184">
        <f>'TOTAL STOCK'!E79</f>
        <v>0</v>
      </c>
      <c r="F79" s="185">
        <f>'TOTAL STOCK'!F79</f>
        <v>0</v>
      </c>
      <c r="G79" s="184">
        <f>'TOTAL STOCK'!G79</f>
        <v>0</v>
      </c>
      <c r="H79" s="185">
        <f>'TOTAL STOCK'!H79</f>
        <v>0</v>
      </c>
      <c r="I79" s="184">
        <f>'TOTAL STOCK'!I79</f>
        <v>0</v>
      </c>
      <c r="J79" s="194">
        <f>'TOTAL STOCK'!J79</f>
        <v>0</v>
      </c>
      <c r="K79" s="117"/>
      <c r="L79" s="118"/>
      <c r="M79" s="62">
        <v>34400</v>
      </c>
    </row>
    <row r="80" spans="1:13" ht="22.95" customHeight="1" x14ac:dyDescent="0.3">
      <c r="A80" s="3">
        <v>6</v>
      </c>
      <c r="B80" s="89" t="str">
        <f>'SALES &amp; RATE'!B80</f>
        <v>BUDWISER MAGNUM</v>
      </c>
      <c r="C80" s="184">
        <v>9</v>
      </c>
      <c r="D80" s="185">
        <v>42</v>
      </c>
      <c r="E80" s="184">
        <f>'TOTAL STOCK'!E80</f>
        <v>0</v>
      </c>
      <c r="F80" s="185">
        <v>11</v>
      </c>
      <c r="G80" s="184">
        <f>'TOTAL STOCK'!G80</f>
        <v>0</v>
      </c>
      <c r="H80" s="185">
        <f>'TOTAL STOCK'!H80</f>
        <v>0</v>
      </c>
      <c r="I80" s="184">
        <f>'TOTAL STOCK'!I80</f>
        <v>0</v>
      </c>
      <c r="J80" s="194">
        <f>'TOTAL STOCK'!J80</f>
        <v>0</v>
      </c>
      <c r="K80" s="117"/>
      <c r="L80" s="119"/>
      <c r="M80" s="64" t="s">
        <v>25</v>
      </c>
    </row>
    <row r="81" spans="1:13" ht="22.95" customHeight="1" thickBot="1" x14ac:dyDescent="0.35">
      <c r="A81" s="3">
        <v>7</v>
      </c>
      <c r="B81" s="89" t="str">
        <f>'SALES &amp; RATE'!B81</f>
        <v>BUDWISER PREM</v>
      </c>
      <c r="C81" s="184">
        <v>0</v>
      </c>
      <c r="D81" s="185">
        <v>5</v>
      </c>
      <c r="E81" s="184">
        <f>'TOTAL STOCK'!E81</f>
        <v>0</v>
      </c>
      <c r="F81" s="185">
        <v>18</v>
      </c>
      <c r="G81" s="184">
        <f>'TOTAL STOCK'!G81</f>
        <v>0</v>
      </c>
      <c r="H81" s="185">
        <f>'TOTAL STOCK'!H81</f>
        <v>0</v>
      </c>
      <c r="I81" s="184">
        <f>'TOTAL STOCK'!I81</f>
        <v>0</v>
      </c>
      <c r="J81" s="194">
        <f>'TOTAL STOCK'!J81</f>
        <v>0</v>
      </c>
      <c r="K81" s="117"/>
      <c r="L81" s="119"/>
      <c r="M81" s="65">
        <f>EXPENDITURE!C10</f>
        <v>147440</v>
      </c>
    </row>
    <row r="82" spans="1:13" ht="22.95" customHeight="1" x14ac:dyDescent="0.3">
      <c r="A82" s="3">
        <v>8</v>
      </c>
      <c r="B82" s="89" t="str">
        <f>'SALES &amp; RATE'!B82</f>
        <v>K.F ULTRA/ WITT BEER</v>
      </c>
      <c r="C82" s="184">
        <f>'TOTAL STOCK'!C82</f>
        <v>0</v>
      </c>
      <c r="D82" s="185">
        <v>0</v>
      </c>
      <c r="E82" s="184">
        <f>'TOTAL STOCK'!E82</f>
        <v>0</v>
      </c>
      <c r="F82" s="185">
        <f>'TOTAL STOCK'!F82</f>
        <v>0</v>
      </c>
      <c r="G82" s="184">
        <f>'TOTAL STOCK'!G82</f>
        <v>0</v>
      </c>
      <c r="H82" s="185">
        <f>'TOTAL STOCK'!H82</f>
        <v>0</v>
      </c>
      <c r="I82" s="184">
        <f>'TOTAL STOCK'!I82</f>
        <v>0</v>
      </c>
      <c r="J82" s="194">
        <f>'TOTAL STOCK'!J82</f>
        <v>0</v>
      </c>
      <c r="K82" s="117"/>
      <c r="L82" s="118"/>
      <c r="M82" s="63" t="s">
        <v>24</v>
      </c>
    </row>
    <row r="83" spans="1:13" ht="22.95" customHeight="1" thickBot="1" x14ac:dyDescent="0.35">
      <c r="A83" s="3">
        <v>9</v>
      </c>
      <c r="B83" s="89" t="str">
        <f>'SALES &amp; RATE'!B83</f>
        <v>TOBURG STRONG BEER</v>
      </c>
      <c r="C83" s="184">
        <v>0</v>
      </c>
      <c r="D83" s="185">
        <v>3</v>
      </c>
      <c r="E83" s="184">
        <v>0</v>
      </c>
      <c r="F83" s="185">
        <v>27</v>
      </c>
      <c r="G83" s="184">
        <v>1</v>
      </c>
      <c r="H83" s="185">
        <v>19</v>
      </c>
      <c r="I83" s="184">
        <f>'TOTAL STOCK'!I83</f>
        <v>0</v>
      </c>
      <c r="J83" s="194">
        <f>'TOTAL STOCK'!J83</f>
        <v>0</v>
      </c>
      <c r="K83" s="117"/>
      <c r="L83" s="118"/>
      <c r="M83" s="55">
        <v>265000</v>
      </c>
    </row>
    <row r="84" spans="1:13" ht="22.95" customHeight="1" x14ac:dyDescent="0.3">
      <c r="A84" s="3">
        <v>10</v>
      </c>
      <c r="B84" s="89" t="str">
        <f>'SALES &amp; RATE'!B84</f>
        <v xml:space="preserve">POWERCOOL </v>
      </c>
      <c r="C84" s="184">
        <v>3</v>
      </c>
      <c r="D84" s="185">
        <v>9</v>
      </c>
      <c r="E84" s="184">
        <f>'TOTAL STOCK'!E84</f>
        <v>0</v>
      </c>
      <c r="F84" s="185">
        <v>11</v>
      </c>
      <c r="G84" s="184">
        <f>'TOTAL STOCK'!G84</f>
        <v>0</v>
      </c>
      <c r="H84" s="185">
        <v>0</v>
      </c>
      <c r="I84" s="184">
        <f>'TOTAL STOCK'!I84</f>
        <v>0</v>
      </c>
      <c r="J84" s="194">
        <f>'TOTAL STOCK'!J84</f>
        <v>0</v>
      </c>
      <c r="K84" s="117"/>
      <c r="L84" s="118"/>
      <c r="M84" s="151" t="s">
        <v>109</v>
      </c>
    </row>
    <row r="85" spans="1:13" ht="22.95" customHeight="1" thickBot="1" x14ac:dyDescent="0.35">
      <c r="A85" s="3">
        <v>11</v>
      </c>
      <c r="B85" s="89" t="str">
        <f>'SALES &amp; RATE'!B85</f>
        <v>BACARDI +</v>
      </c>
      <c r="C85" s="184">
        <f>'TOTAL STOCK'!C85</f>
        <v>0</v>
      </c>
      <c r="D85" s="185">
        <f>'TOTAL STOCK'!D85</f>
        <v>0</v>
      </c>
      <c r="E85" s="184">
        <f>'TOTAL STOCK'!E85</f>
        <v>0</v>
      </c>
      <c r="F85" s="185">
        <f>'TOTAL STOCK'!F85</f>
        <v>0</v>
      </c>
      <c r="G85" s="184">
        <v>0</v>
      </c>
      <c r="H85" s="185">
        <v>55</v>
      </c>
      <c r="I85" s="184">
        <f>'TOTAL STOCK'!I85</f>
        <v>0</v>
      </c>
      <c r="J85" s="194">
        <f>'TOTAL STOCK'!J85</f>
        <v>0</v>
      </c>
      <c r="K85" s="117"/>
      <c r="L85" s="118"/>
      <c r="M85" s="62">
        <v>270000</v>
      </c>
    </row>
    <row r="86" spans="1:13" ht="22.95" customHeight="1" x14ac:dyDescent="0.3">
      <c r="A86" s="3">
        <v>12</v>
      </c>
      <c r="B86" s="89" t="str">
        <f>'SALES &amp; RATE'!B86</f>
        <v>BACARDI BREEZER</v>
      </c>
      <c r="C86" s="184">
        <f>'TOTAL STOCK'!C86</f>
        <v>0</v>
      </c>
      <c r="D86" s="185">
        <f>'TOTAL STOCK'!D86</f>
        <v>0</v>
      </c>
      <c r="E86" s="184">
        <f>'TOTAL STOCK'!E86</f>
        <v>0</v>
      </c>
      <c r="F86" s="185">
        <f>'TOTAL STOCK'!F86</f>
        <v>0</v>
      </c>
      <c r="G86" s="184">
        <f>'TOTAL STOCK'!G86</f>
        <v>0</v>
      </c>
      <c r="H86" s="185">
        <v>0</v>
      </c>
      <c r="I86" s="184">
        <f>'TOTAL STOCK'!I86</f>
        <v>0</v>
      </c>
      <c r="J86" s="194">
        <f>'TOTAL STOCK'!J86</f>
        <v>0</v>
      </c>
      <c r="K86" s="117"/>
      <c r="L86" s="118"/>
      <c r="M86" s="151" t="s">
        <v>123</v>
      </c>
    </row>
    <row r="87" spans="1:13" ht="22.95" customHeight="1" thickBot="1" x14ac:dyDescent="0.35">
      <c r="A87" s="3">
        <v>13</v>
      </c>
      <c r="B87" s="89" t="str">
        <f>'SALES &amp; RATE'!B87</f>
        <v>RC / BULLET BEER</v>
      </c>
      <c r="C87" s="184">
        <v>0</v>
      </c>
      <c r="D87" s="185">
        <v>0</v>
      </c>
      <c r="E87" s="184">
        <f>'TOTAL STOCK'!E87</f>
        <v>0</v>
      </c>
      <c r="F87" s="185">
        <v>2</v>
      </c>
      <c r="G87" s="184">
        <f>'TOTAL STOCK'!G87</f>
        <v>0</v>
      </c>
      <c r="H87" s="185">
        <f>'TOTAL STOCK'!H87</f>
        <v>0</v>
      </c>
      <c r="I87" s="184">
        <f>'TOTAL STOCK'!I87</f>
        <v>0</v>
      </c>
      <c r="J87" s="194">
        <f>'TOTAL STOCK'!J87</f>
        <v>0</v>
      </c>
      <c r="K87" s="117"/>
      <c r="L87" s="118"/>
      <c r="M87" s="62">
        <v>692507</v>
      </c>
    </row>
    <row r="88" spans="1:13" ht="22.95" customHeight="1" x14ac:dyDescent="0.3">
      <c r="A88" s="3">
        <v>14</v>
      </c>
      <c r="B88" s="89" t="str">
        <f>'SALES &amp; RATE'!B88</f>
        <v>HUNTER</v>
      </c>
      <c r="C88" s="184">
        <f>'TOTAL STOCK'!C88</f>
        <v>0</v>
      </c>
      <c r="D88" s="185">
        <f>'TOTAL STOCK'!D88</f>
        <v>0</v>
      </c>
      <c r="E88" s="184">
        <f>'TOTAL STOCK'!E88</f>
        <v>0</v>
      </c>
      <c r="F88" s="185">
        <f>'TOTAL STOCK'!F88</f>
        <v>0</v>
      </c>
      <c r="G88" s="184">
        <f>'TOTAL STOCK'!G88</f>
        <v>0</v>
      </c>
      <c r="H88" s="185">
        <f>'TOTAL STOCK'!H88</f>
        <v>0</v>
      </c>
      <c r="I88" s="184">
        <f>'TOTAL STOCK'!I88</f>
        <v>0</v>
      </c>
      <c r="J88" s="194">
        <f>'TOTAL STOCK'!J88</f>
        <v>0</v>
      </c>
      <c r="K88" s="117"/>
      <c r="L88" s="119"/>
      <c r="M88" s="60" t="s">
        <v>97</v>
      </c>
    </row>
    <row r="89" spans="1:13" ht="22.95" customHeight="1" thickBot="1" x14ac:dyDescent="0.35">
      <c r="A89" s="3">
        <v>15</v>
      </c>
      <c r="B89" s="89" t="str">
        <f>'SALES &amp; RATE'!B89</f>
        <v>CARLSBERG ELE STRONG</v>
      </c>
      <c r="C89" s="184">
        <v>0</v>
      </c>
      <c r="D89" s="185">
        <v>18</v>
      </c>
      <c r="E89" s="184">
        <v>0</v>
      </c>
      <c r="F89" s="185">
        <v>24</v>
      </c>
      <c r="G89" s="184">
        <f>'TOTAL STOCK'!G89</f>
        <v>0</v>
      </c>
      <c r="H89" s="185">
        <f>'TOTAL STOCK'!H89</f>
        <v>0</v>
      </c>
      <c r="I89" s="184">
        <f>'TOTAL STOCK'!I89</f>
        <v>0</v>
      </c>
      <c r="J89" s="194">
        <f>'TOTAL STOCK'!J89</f>
        <v>0</v>
      </c>
      <c r="K89" s="117"/>
      <c r="L89" s="119"/>
      <c r="M89" s="61">
        <f>'OPENING STOCK'!M75+'OPENING STOCK'!M77+'OPENING STOCK'!M79+'SALES &amp; RATE'!M101</f>
        <v>1263810</v>
      </c>
    </row>
    <row r="90" spans="1:13" ht="22.95" customHeight="1" x14ac:dyDescent="0.3">
      <c r="A90" s="3">
        <v>16</v>
      </c>
      <c r="B90" s="89" t="str">
        <f>'SALES &amp; RATE'!B90</f>
        <v>SUNNY STRONG</v>
      </c>
      <c r="C90" s="184">
        <v>0</v>
      </c>
      <c r="D90" s="185">
        <f>'TOTAL STOCK'!D90</f>
        <v>0</v>
      </c>
      <c r="E90" s="184">
        <f>'TOTAL STOCK'!E90</f>
        <v>0</v>
      </c>
      <c r="F90" s="185">
        <f>'TOTAL STOCK'!F90</f>
        <v>0</v>
      </c>
      <c r="G90" s="184">
        <f>'TOTAL STOCK'!G90</f>
        <v>0</v>
      </c>
      <c r="H90" s="185">
        <f>'TOTAL STOCK'!H90</f>
        <v>0</v>
      </c>
      <c r="I90" s="184">
        <f>'TOTAL STOCK'!I90</f>
        <v>0</v>
      </c>
      <c r="J90" s="194">
        <f>'TOTAL STOCK'!J90</f>
        <v>0</v>
      </c>
      <c r="K90" s="117"/>
      <c r="L90" s="119"/>
      <c r="M90" s="58" t="s">
        <v>100</v>
      </c>
    </row>
    <row r="91" spans="1:13" ht="22.95" customHeight="1" thickBot="1" x14ac:dyDescent="0.35">
      <c r="A91" s="3">
        <v>17</v>
      </c>
      <c r="B91" s="89" t="str">
        <f>'SALES &amp; RATE'!B91</f>
        <v>FOSTERS BEER</v>
      </c>
      <c r="C91" s="184">
        <f>'TOTAL STOCK'!C91</f>
        <v>0</v>
      </c>
      <c r="D91" s="185">
        <f>'TOTAL STOCK'!D91</f>
        <v>0</v>
      </c>
      <c r="E91" s="184">
        <f>'TOTAL STOCK'!E91</f>
        <v>0</v>
      </c>
      <c r="F91" s="185">
        <f>'TOTAL STOCK'!F91</f>
        <v>0</v>
      </c>
      <c r="G91" s="184">
        <f>'TOTAL STOCK'!G91</f>
        <v>0</v>
      </c>
      <c r="H91" s="185">
        <f>'TOTAL STOCK'!H91</f>
        <v>0</v>
      </c>
      <c r="I91" s="184">
        <f>'TOTAL STOCK'!I91</f>
        <v>0</v>
      </c>
      <c r="J91" s="194">
        <f>'TOTAL STOCK'!J91</f>
        <v>0</v>
      </c>
      <c r="K91" s="117"/>
      <c r="L91" s="119"/>
      <c r="M91" s="59">
        <f>M85+M87</f>
        <v>962507</v>
      </c>
    </row>
    <row r="92" spans="1:13" ht="22.95" customHeight="1" x14ac:dyDescent="0.3">
      <c r="A92" s="3">
        <v>18</v>
      </c>
      <c r="B92" s="89" t="str">
        <f>'SALES &amp; RATE'!B92</f>
        <v>HEINEKEN BEER</v>
      </c>
      <c r="C92" s="184">
        <f>'TOTAL STOCK'!C92</f>
        <v>0</v>
      </c>
      <c r="D92" s="185">
        <f>'TOTAL STOCK'!D92</f>
        <v>0</v>
      </c>
      <c r="E92" s="184">
        <f>'TOTAL STOCK'!E92</f>
        <v>0</v>
      </c>
      <c r="F92" s="185">
        <f>'TOTAL STOCK'!F92</f>
        <v>0</v>
      </c>
      <c r="G92" s="184">
        <f>'TOTAL STOCK'!G92</f>
        <v>0</v>
      </c>
      <c r="H92" s="185">
        <f>'TOTAL STOCK'!H92</f>
        <v>0</v>
      </c>
      <c r="I92" s="184">
        <f>'TOTAL STOCK'!I92</f>
        <v>0</v>
      </c>
      <c r="J92" s="194">
        <f>'TOTAL STOCK'!J92</f>
        <v>0</v>
      </c>
      <c r="K92" s="117"/>
      <c r="L92" s="119"/>
      <c r="M92" s="160" t="s">
        <v>98</v>
      </c>
    </row>
    <row r="93" spans="1:13" ht="22.95" customHeight="1" thickBot="1" x14ac:dyDescent="0.35">
      <c r="A93" s="3">
        <v>19</v>
      </c>
      <c r="B93" s="89" t="str">
        <f>'SALES &amp; RATE'!B93</f>
        <v>TUBORG CLASSIC</v>
      </c>
      <c r="C93" s="184">
        <f>'TOTAL STOCK'!C93</f>
        <v>0</v>
      </c>
      <c r="D93" s="185">
        <v>11</v>
      </c>
      <c r="E93" s="184">
        <f>'TOTAL STOCK'!E93</f>
        <v>0</v>
      </c>
      <c r="F93" s="185">
        <f>'TOTAL STOCK'!F93</f>
        <v>0</v>
      </c>
      <c r="G93" s="184">
        <f>'TOTAL STOCK'!G93</f>
        <v>0</v>
      </c>
      <c r="H93" s="185">
        <f>'TOTAL STOCK'!H93</f>
        <v>0</v>
      </c>
      <c r="I93" s="184">
        <f>'TOTAL STOCK'!I93</f>
        <v>0</v>
      </c>
      <c r="J93" s="194">
        <f>'TOTAL STOCK'!J93</f>
        <v>0</v>
      </c>
      <c r="K93" s="117"/>
      <c r="L93" s="119"/>
      <c r="M93" s="56">
        <f>M91-M95</f>
        <v>10737</v>
      </c>
    </row>
    <row r="94" spans="1:13" ht="22.95" customHeight="1" thickBot="1" x14ac:dyDescent="0.35">
      <c r="A94" s="43">
        <v>20</v>
      </c>
      <c r="B94" s="95">
        <f>'SALES &amp; RATE'!B94</f>
        <v>0</v>
      </c>
      <c r="C94" s="189">
        <f>'TOTAL STOCK'!C94</f>
        <v>0</v>
      </c>
      <c r="D94" s="190">
        <f>'TOTAL STOCK'!D94</f>
        <v>0</v>
      </c>
      <c r="E94" s="189">
        <f>'TOTAL STOCK'!E94</f>
        <v>0</v>
      </c>
      <c r="F94" s="190">
        <f>'TOTAL STOCK'!F94</f>
        <v>0</v>
      </c>
      <c r="G94" s="189">
        <f>'TOTAL STOCK'!G94</f>
        <v>0</v>
      </c>
      <c r="H94" s="190">
        <f>'TOTAL STOCK'!H94</f>
        <v>0</v>
      </c>
      <c r="I94" s="189">
        <f>'TOTAL STOCK'!I94</f>
        <v>0</v>
      </c>
      <c r="J94" s="195">
        <f>'TOTAL STOCK'!J94</f>
        <v>0</v>
      </c>
      <c r="K94" s="121"/>
      <c r="L94" s="122"/>
      <c r="M94" s="159" t="s">
        <v>99</v>
      </c>
    </row>
    <row r="95" spans="1:13" ht="22.95" customHeight="1" thickBot="1" x14ac:dyDescent="0.35">
      <c r="A95" s="334" t="s">
        <v>17</v>
      </c>
      <c r="B95" s="335"/>
      <c r="C95" s="338" t="s">
        <v>82</v>
      </c>
      <c r="D95" s="339"/>
      <c r="E95" s="339"/>
      <c r="F95" s="339"/>
      <c r="G95" s="339"/>
      <c r="H95" s="339"/>
      <c r="I95" s="339"/>
      <c r="J95" s="339"/>
      <c r="K95" s="340"/>
      <c r="L95" s="341"/>
      <c r="M95" s="57">
        <f>M89-(M75+M77+M79+M81)</f>
        <v>951770</v>
      </c>
    </row>
    <row r="96" spans="1:13" ht="22.95" customHeight="1" x14ac:dyDescent="0.3">
      <c r="A96" s="336"/>
      <c r="B96" s="337"/>
      <c r="C96" s="224" t="s">
        <v>18</v>
      </c>
      <c r="D96" s="225"/>
      <c r="E96" s="224" t="s">
        <v>19</v>
      </c>
      <c r="F96" s="225"/>
      <c r="G96" s="224" t="s">
        <v>72</v>
      </c>
      <c r="H96" s="225"/>
      <c r="I96" s="224" t="s">
        <v>20</v>
      </c>
      <c r="J96" s="226"/>
      <c r="K96" s="96"/>
      <c r="L96" s="26"/>
      <c r="M96" s="158" t="s">
        <v>105</v>
      </c>
    </row>
    <row r="97" spans="1:13" ht="22.95" customHeight="1" thickBot="1" x14ac:dyDescent="0.35">
      <c r="A97" s="37" t="s">
        <v>9</v>
      </c>
      <c r="B97" s="38" t="s">
        <v>13</v>
      </c>
      <c r="C97" s="5" t="s">
        <v>71</v>
      </c>
      <c r="D97" s="8" t="s">
        <v>3</v>
      </c>
      <c r="E97" s="5" t="s">
        <v>2</v>
      </c>
      <c r="F97" s="8" t="s">
        <v>3</v>
      </c>
      <c r="G97" s="5" t="s">
        <v>10</v>
      </c>
      <c r="H97" s="8" t="s">
        <v>3</v>
      </c>
      <c r="I97" s="5" t="s">
        <v>70</v>
      </c>
      <c r="J97" s="6" t="s">
        <v>3</v>
      </c>
      <c r="K97" s="94"/>
      <c r="L97" s="28"/>
      <c r="M97" s="152">
        <f>M91+'OPENING STOCK'!M99</f>
        <v>1027507</v>
      </c>
    </row>
    <row r="98" spans="1:13" ht="22.95" customHeight="1" x14ac:dyDescent="0.3">
      <c r="A98" s="3">
        <v>1</v>
      </c>
      <c r="B98" s="89" t="str">
        <f>'SALES &amp; RATE'!B98</f>
        <v>COOL DRINKS</v>
      </c>
      <c r="C98" s="184">
        <f>'TOTAL STOCK'!C98</f>
        <v>0</v>
      </c>
      <c r="D98" s="185">
        <f>'TOTAL STOCK'!D98</f>
        <v>0</v>
      </c>
      <c r="E98" s="184">
        <f>'TOTAL STOCK'!E98</f>
        <v>0</v>
      </c>
      <c r="F98" s="185">
        <f>'TOTAL STOCK'!F98</f>
        <v>0</v>
      </c>
      <c r="G98" s="184">
        <v>2</v>
      </c>
      <c r="H98" s="185">
        <v>68</v>
      </c>
      <c r="I98" s="184">
        <v>5</v>
      </c>
      <c r="J98" s="194">
        <v>87</v>
      </c>
      <c r="K98" s="117"/>
      <c r="L98" s="118"/>
      <c r="M98" s="157" t="s">
        <v>110</v>
      </c>
    </row>
    <row r="99" spans="1:13" ht="22.95" customHeight="1" thickBot="1" x14ac:dyDescent="0.35">
      <c r="A99" s="3">
        <v>2</v>
      </c>
      <c r="B99" s="89" t="str">
        <f>'SALES &amp; RATE'!B99</f>
        <v>SODA*12/REDBULL*24</v>
      </c>
      <c r="C99" s="184">
        <f>'TOTAL STOCK'!C99</f>
        <v>0</v>
      </c>
      <c r="D99" s="185">
        <f>'TOTAL STOCK'!D99</f>
        <v>0</v>
      </c>
      <c r="E99" s="184">
        <f>'TOTAL STOCK'!E99</f>
        <v>0</v>
      </c>
      <c r="F99" s="185">
        <f>'TOTAL STOCK'!F99</f>
        <v>0</v>
      </c>
      <c r="G99" s="184">
        <v>5</v>
      </c>
      <c r="H99" s="185">
        <v>5</v>
      </c>
      <c r="I99" s="184">
        <v>0</v>
      </c>
      <c r="J99" s="194">
        <v>11</v>
      </c>
      <c r="K99" s="117"/>
      <c r="L99" s="118"/>
      <c r="M99" s="153">
        <f>M97-(M87+M83)</f>
        <v>70000</v>
      </c>
    </row>
    <row r="100" spans="1:13" ht="22.95" customHeight="1" thickBot="1" x14ac:dyDescent="0.35">
      <c r="A100" s="41">
        <v>3</v>
      </c>
      <c r="B100" s="90" t="str">
        <f>'SALES &amp; RATE'!B100</f>
        <v>MIN WATER</v>
      </c>
      <c r="C100" s="189">
        <v>6</v>
      </c>
      <c r="D100" s="190">
        <f>'TOTAL STOCK'!D100</f>
        <v>21</v>
      </c>
      <c r="E100" s="189">
        <v>2</v>
      </c>
      <c r="F100" s="190">
        <v>31</v>
      </c>
      <c r="G100" s="189">
        <v>2</v>
      </c>
      <c r="H100" s="190">
        <v>27</v>
      </c>
      <c r="I100" s="189">
        <f>'TOTAL STOCK'!I100</f>
        <v>0</v>
      </c>
      <c r="J100" s="195">
        <f>'TOTAL STOCK'!J100</f>
        <v>0</v>
      </c>
      <c r="K100" s="121"/>
      <c r="L100" s="122"/>
    </row>
  </sheetData>
  <sheetProtection selectLockedCells="1"/>
  <mergeCells count="27">
    <mergeCell ref="A1:B2"/>
    <mergeCell ref="C1:L1"/>
    <mergeCell ref="C2:D2"/>
    <mergeCell ref="E2:F2"/>
    <mergeCell ref="G2:H2"/>
    <mergeCell ref="I2:J2"/>
    <mergeCell ref="K2:L2"/>
    <mergeCell ref="A51:B52"/>
    <mergeCell ref="C51:L51"/>
    <mergeCell ref="C52:D52"/>
    <mergeCell ref="E52:F52"/>
    <mergeCell ref="G52:H52"/>
    <mergeCell ref="I52:J52"/>
    <mergeCell ref="K52:L52"/>
    <mergeCell ref="K73:L73"/>
    <mergeCell ref="A95:B96"/>
    <mergeCell ref="C96:D96"/>
    <mergeCell ref="E96:F96"/>
    <mergeCell ref="G96:H96"/>
    <mergeCell ref="I96:J96"/>
    <mergeCell ref="A72:B73"/>
    <mergeCell ref="C73:D73"/>
    <mergeCell ref="E73:F73"/>
    <mergeCell ref="G73:H73"/>
    <mergeCell ref="I73:J73"/>
    <mergeCell ref="C95:L95"/>
    <mergeCell ref="C72:L7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00"/>
  </sheetPr>
  <dimension ref="A1:R101"/>
  <sheetViews>
    <sheetView zoomScaleNormal="100" zoomScalePageLayoutView="125" workbookViewId="0">
      <pane xSplit="2" ySplit="3" topLeftCell="C4" activePane="bottomRight" state="frozenSplit"/>
      <selection pane="topRight" activeCell="J1" sqref="J1"/>
      <selection pane="bottomLeft" activeCell="A11" sqref="A11"/>
      <selection pane="bottomRight" sqref="A1:B2"/>
    </sheetView>
  </sheetViews>
  <sheetFormatPr defaultColWidth="10.69921875" defaultRowHeight="15.6" x14ac:dyDescent="0.3"/>
  <cols>
    <col min="1" max="1" width="4.69921875" customWidth="1"/>
    <col min="2" max="2" width="21.5" customWidth="1"/>
    <col min="3" max="3" width="8.5" customWidth="1"/>
    <col min="4" max="4" width="15.19921875" customWidth="1"/>
    <col min="5" max="5" width="8.5" customWidth="1"/>
    <col min="6" max="6" width="15.19921875" customWidth="1"/>
    <col min="7" max="7" width="8.5" customWidth="1"/>
    <col min="8" max="8" width="15.19921875" customWidth="1"/>
    <col min="9" max="9" width="8.5" customWidth="1"/>
    <col min="10" max="10" width="15.19921875" customWidth="1"/>
    <col min="11" max="11" width="8.5" customWidth="1"/>
    <col min="12" max="12" width="15.19921875" customWidth="1"/>
    <col min="13" max="13" width="18.19921875" customWidth="1"/>
  </cols>
  <sheetData>
    <row r="1" spans="1:18" ht="28.2" customHeight="1" thickBot="1" x14ac:dyDescent="0.35">
      <c r="A1" s="243" t="s">
        <v>0</v>
      </c>
      <c r="B1" s="244"/>
      <c r="C1" s="247" t="s">
        <v>84</v>
      </c>
      <c r="D1" s="248"/>
      <c r="E1" s="248"/>
      <c r="F1" s="248"/>
      <c r="G1" s="248"/>
      <c r="H1" s="248"/>
      <c r="I1" s="248"/>
      <c r="J1" s="248"/>
      <c r="K1" s="248"/>
      <c r="L1" s="248"/>
      <c r="M1" s="203" t="s">
        <v>92</v>
      </c>
      <c r="N1" s="210" t="s">
        <v>95</v>
      </c>
      <c r="O1" s="211"/>
      <c r="P1" s="211"/>
      <c r="Q1" s="211"/>
      <c r="R1" s="212"/>
    </row>
    <row r="2" spans="1:18" ht="22.95" customHeight="1" x14ac:dyDescent="0.3">
      <c r="A2" s="245"/>
      <c r="B2" s="246"/>
      <c r="C2" s="249" t="s">
        <v>4</v>
      </c>
      <c r="D2" s="250"/>
      <c r="E2" s="249" t="s">
        <v>5</v>
      </c>
      <c r="F2" s="251"/>
      <c r="G2" s="252" t="s">
        <v>6</v>
      </c>
      <c r="H2" s="253"/>
      <c r="I2" s="254" t="s">
        <v>7</v>
      </c>
      <c r="J2" s="255"/>
      <c r="K2" s="256" t="s">
        <v>8</v>
      </c>
      <c r="L2" s="257"/>
      <c r="M2" s="204"/>
      <c r="N2" s="88" t="s">
        <v>4</v>
      </c>
      <c r="O2" s="74" t="s">
        <v>5</v>
      </c>
      <c r="P2" s="74" t="s">
        <v>6</v>
      </c>
      <c r="Q2" s="75" t="s">
        <v>7</v>
      </c>
      <c r="R2" s="87" t="s">
        <v>8</v>
      </c>
    </row>
    <row r="3" spans="1:18" ht="22.95" customHeight="1" x14ac:dyDescent="0.3">
      <c r="A3" s="34" t="s">
        <v>9</v>
      </c>
      <c r="B3" s="36" t="s">
        <v>13</v>
      </c>
      <c r="C3" s="9" t="s">
        <v>2</v>
      </c>
      <c r="D3" s="12" t="s">
        <v>3</v>
      </c>
      <c r="E3" s="9" t="s">
        <v>10</v>
      </c>
      <c r="F3" s="10" t="s">
        <v>3</v>
      </c>
      <c r="G3" s="11" t="s">
        <v>11</v>
      </c>
      <c r="H3" s="12" t="s">
        <v>3</v>
      </c>
      <c r="I3" s="15" t="s">
        <v>12</v>
      </c>
      <c r="J3" s="16" t="s">
        <v>3</v>
      </c>
      <c r="K3" s="13" t="s">
        <v>77</v>
      </c>
      <c r="L3" s="14" t="s">
        <v>3</v>
      </c>
      <c r="M3" s="204"/>
      <c r="N3" s="9" t="s">
        <v>94</v>
      </c>
      <c r="O3" s="72" t="s">
        <v>94</v>
      </c>
      <c r="P3" s="72" t="s">
        <v>94</v>
      </c>
      <c r="Q3" s="72" t="s">
        <v>94</v>
      </c>
      <c r="R3" s="10" t="s">
        <v>94</v>
      </c>
    </row>
    <row r="4" spans="1:18" ht="22.95" customHeight="1" x14ac:dyDescent="0.3">
      <c r="A4" s="3">
        <v>1</v>
      </c>
      <c r="B4" s="89" t="s">
        <v>26</v>
      </c>
      <c r="C4" s="104">
        <f>'TOTAL STOCK'!C4-'CLOSING STOCK'!C4</f>
        <v>0</v>
      </c>
      <c r="D4" s="105">
        <f>'TOTAL STOCK'!D4-'CLOSING STOCK'!D4</f>
        <v>2</v>
      </c>
      <c r="E4" s="104">
        <f>'TOTAL STOCK'!E4-'CLOSING STOCK'!E4</f>
        <v>1</v>
      </c>
      <c r="F4" s="106">
        <f>'TOTAL STOCK'!F4-'CLOSING STOCK'!F4</f>
        <v>-13</v>
      </c>
      <c r="G4" s="107">
        <f>'TOTAL STOCK'!G4-'CLOSING STOCK'!G4</f>
        <v>4</v>
      </c>
      <c r="H4" s="105">
        <f>'TOTAL STOCK'!H4-'CLOSING STOCK'!H4</f>
        <v>-6</v>
      </c>
      <c r="I4" s="104">
        <f>'TOTAL STOCK'!I4-'CLOSING STOCK'!I4</f>
        <v>1</v>
      </c>
      <c r="J4" s="106">
        <f>'TOTAL STOCK'!J4-'CLOSING STOCK'!J4</f>
        <v>-3</v>
      </c>
      <c r="K4" s="107">
        <f>'TOTAL STOCK'!K4-'CLOSING STOCK'!K4</f>
        <v>0</v>
      </c>
      <c r="L4" s="105">
        <f>'TOTAL STOCK'!L4-'CLOSING STOCK'!L4</f>
        <v>0</v>
      </c>
      <c r="M4" s="77">
        <f>(C4*12*N4)+(D4*N4)+(E4*24*O4)+(F4*O4)+(G4*48*P4)+(H4*P4)+(I4*96*Q4)+(J4*Q4)+(K4*25*R4)+(L4*R4)</f>
        <v>73350</v>
      </c>
      <c r="N4" s="102">
        <v>1100</v>
      </c>
      <c r="O4" s="19">
        <v>550</v>
      </c>
      <c r="P4" s="19">
        <v>275</v>
      </c>
      <c r="Q4" s="73">
        <v>150</v>
      </c>
      <c r="R4" s="4">
        <v>140</v>
      </c>
    </row>
    <row r="5" spans="1:18" ht="22.95" customHeight="1" x14ac:dyDescent="0.3">
      <c r="A5" s="3">
        <v>2</v>
      </c>
      <c r="B5" s="97" t="s">
        <v>27</v>
      </c>
      <c r="C5" s="104">
        <f>'TOTAL STOCK'!C5-'CLOSING STOCK'!C5</f>
        <v>0</v>
      </c>
      <c r="D5" s="105">
        <f>'TOTAL STOCK'!D5-'CLOSING STOCK'!D5</f>
        <v>3</v>
      </c>
      <c r="E5" s="104">
        <f>'TOTAL STOCK'!E5-'CLOSING STOCK'!E5</f>
        <v>0</v>
      </c>
      <c r="F5" s="106">
        <f>'TOTAL STOCK'!F5-'CLOSING STOCK'!F5</f>
        <v>4</v>
      </c>
      <c r="G5" s="107">
        <f>'TOTAL STOCK'!G5-'CLOSING STOCK'!G5</f>
        <v>6</v>
      </c>
      <c r="H5" s="105">
        <f>'TOTAL STOCK'!H5-'CLOSING STOCK'!H5</f>
        <v>43</v>
      </c>
      <c r="I5" s="104">
        <f>'TOTAL STOCK'!I5-'CLOSING STOCK'!I5</f>
        <v>2</v>
      </c>
      <c r="J5" s="106">
        <f>'TOTAL STOCK'!J5-'CLOSING STOCK'!J5</f>
        <v>-9</v>
      </c>
      <c r="K5" s="107">
        <f>'TOTAL STOCK'!K5-'CLOSING STOCK'!K5</f>
        <v>0</v>
      </c>
      <c r="L5" s="105">
        <f>'TOTAL STOCK'!L5-'CLOSING STOCK'!L5</f>
        <v>0</v>
      </c>
      <c r="M5" s="77">
        <f t="shared" ref="M5:M50" si="0">(C5*12*N5)+(D5*N5)+(E5*24*O5)+(F5*O5)+(G5*48*P5)+(H5*P5)+(I5*96*Q5)+(J5*Q5)+(K5*25*R5)+(L5*R5)</f>
        <v>97425</v>
      </c>
      <c r="N5" s="102">
        <v>860</v>
      </c>
      <c r="O5" s="19">
        <v>430</v>
      </c>
      <c r="P5" s="19">
        <v>215</v>
      </c>
      <c r="Q5" s="73">
        <v>120</v>
      </c>
      <c r="R5" s="4">
        <v>90</v>
      </c>
    </row>
    <row r="6" spans="1:18" ht="22.95" customHeight="1" x14ac:dyDescent="0.3">
      <c r="A6" s="3">
        <v>3</v>
      </c>
      <c r="B6" s="97" t="s">
        <v>28</v>
      </c>
      <c r="C6" s="104">
        <f>'TOTAL STOCK'!C6-'CLOSING STOCK'!C6</f>
        <v>0</v>
      </c>
      <c r="D6" s="105">
        <f>'TOTAL STOCK'!D6-'CLOSING STOCK'!D6</f>
        <v>0</v>
      </c>
      <c r="E6" s="104">
        <f>'TOTAL STOCK'!E6-'CLOSING STOCK'!E6</f>
        <v>0</v>
      </c>
      <c r="F6" s="106">
        <f>'TOTAL STOCK'!F6-'CLOSING STOCK'!F6</f>
        <v>0</v>
      </c>
      <c r="G6" s="107">
        <f>'TOTAL STOCK'!G6-'CLOSING STOCK'!G6</f>
        <v>3</v>
      </c>
      <c r="H6" s="105">
        <f>'TOTAL STOCK'!H6-'CLOSING STOCK'!H6</f>
        <v>34</v>
      </c>
      <c r="I6" s="104">
        <f>'TOTAL STOCK'!I6-'CLOSING STOCK'!I6</f>
        <v>2</v>
      </c>
      <c r="J6" s="106">
        <f>'TOTAL STOCK'!J6-'CLOSING STOCK'!J6</f>
        <v>-22</v>
      </c>
      <c r="K6" s="107">
        <f>'TOTAL STOCK'!K6-'CLOSING STOCK'!K6</f>
        <v>0</v>
      </c>
      <c r="L6" s="105">
        <f>'TOTAL STOCK'!L6-'CLOSING STOCK'!L6</f>
        <v>0</v>
      </c>
      <c r="M6" s="77">
        <f t="shared" si="0"/>
        <v>28930</v>
      </c>
      <c r="N6" s="102">
        <v>400</v>
      </c>
      <c r="O6" s="19">
        <v>200</v>
      </c>
      <c r="P6" s="19">
        <v>110</v>
      </c>
      <c r="Q6" s="73">
        <v>55</v>
      </c>
      <c r="R6" s="4"/>
    </row>
    <row r="7" spans="1:18" ht="22.95" customHeight="1" x14ac:dyDescent="0.3">
      <c r="A7" s="3">
        <v>4</v>
      </c>
      <c r="B7" s="97" t="s">
        <v>131</v>
      </c>
      <c r="C7" s="104">
        <f>'TOTAL STOCK'!C7-'CLOSING STOCK'!C7</f>
        <v>0</v>
      </c>
      <c r="D7" s="105">
        <f>'TOTAL STOCK'!D7-'CLOSING STOCK'!D7</f>
        <v>0</v>
      </c>
      <c r="E7" s="104">
        <f>'TOTAL STOCK'!E7-'CLOSING STOCK'!E7</f>
        <v>0</v>
      </c>
      <c r="F7" s="106">
        <f>'TOTAL STOCK'!F7-'CLOSING STOCK'!F7</f>
        <v>0</v>
      </c>
      <c r="G7" s="107">
        <f>'TOTAL STOCK'!G7-'CLOSING STOCK'!G7</f>
        <v>0</v>
      </c>
      <c r="H7" s="105">
        <f>'TOTAL STOCK'!H7-'CLOSING STOCK'!H7</f>
        <v>20</v>
      </c>
      <c r="I7" s="104">
        <f>'TOTAL STOCK'!I7-'CLOSING STOCK'!I7</f>
        <v>2</v>
      </c>
      <c r="J7" s="106">
        <f>'TOTAL STOCK'!J7-'CLOSING STOCK'!J7</f>
        <v>-23</v>
      </c>
      <c r="K7" s="107">
        <f>'TOTAL STOCK'!K7-'CLOSING STOCK'!K7</f>
        <v>0</v>
      </c>
      <c r="L7" s="105">
        <f>'TOTAL STOCK'!L7-'CLOSING STOCK'!L7</f>
        <v>0</v>
      </c>
      <c r="M7" s="77">
        <f t="shared" si="0"/>
        <v>10650</v>
      </c>
      <c r="N7" s="102">
        <v>400</v>
      </c>
      <c r="O7" s="19">
        <v>200</v>
      </c>
      <c r="P7" s="19">
        <v>110</v>
      </c>
      <c r="Q7" s="73">
        <v>50</v>
      </c>
      <c r="R7" s="4"/>
    </row>
    <row r="8" spans="1:18" ht="22.95" customHeight="1" x14ac:dyDescent="0.3">
      <c r="A8" s="3">
        <v>5</v>
      </c>
      <c r="B8" s="97" t="s">
        <v>134</v>
      </c>
      <c r="C8" s="104">
        <f>'TOTAL STOCK'!C8-'CLOSING STOCK'!C8</f>
        <v>0</v>
      </c>
      <c r="D8" s="105">
        <f>'TOTAL STOCK'!D8-'CLOSING STOCK'!D8</f>
        <v>0</v>
      </c>
      <c r="E8" s="104">
        <f>'TOTAL STOCK'!E8-'CLOSING STOCK'!E8</f>
        <v>0</v>
      </c>
      <c r="F8" s="106">
        <f>'TOTAL STOCK'!F8-'CLOSING STOCK'!F8</f>
        <v>0</v>
      </c>
      <c r="G8" s="107">
        <f>'TOTAL STOCK'!G8-'CLOSING STOCK'!G8</f>
        <v>0</v>
      </c>
      <c r="H8" s="105">
        <f>'TOTAL STOCK'!H8-'CLOSING STOCK'!H8</f>
        <v>12</v>
      </c>
      <c r="I8" s="104">
        <f>'TOTAL STOCK'!I8-'CLOSING STOCK'!I8</f>
        <v>0</v>
      </c>
      <c r="J8" s="106">
        <f>'TOTAL STOCK'!J8-'CLOSING STOCK'!J8</f>
        <v>12</v>
      </c>
      <c r="K8" s="107">
        <f>'TOTAL STOCK'!K8-'CLOSING STOCK'!K8</f>
        <v>0</v>
      </c>
      <c r="L8" s="105">
        <f>'TOTAL STOCK'!L8-'CLOSING STOCK'!L8</f>
        <v>0</v>
      </c>
      <c r="M8" s="77">
        <f t="shared" si="0"/>
        <v>3240</v>
      </c>
      <c r="N8" s="102">
        <v>720</v>
      </c>
      <c r="O8" s="19">
        <v>360</v>
      </c>
      <c r="P8" s="19">
        <v>180</v>
      </c>
      <c r="Q8" s="73">
        <v>90</v>
      </c>
      <c r="R8" s="4"/>
    </row>
    <row r="9" spans="1:18" ht="22.95" customHeight="1" x14ac:dyDescent="0.3">
      <c r="A9" s="3">
        <v>6</v>
      </c>
      <c r="B9" s="97" t="s">
        <v>29</v>
      </c>
      <c r="C9" s="104">
        <f>'TOTAL STOCK'!C9-'CLOSING STOCK'!C9</f>
        <v>0</v>
      </c>
      <c r="D9" s="105">
        <f>'TOTAL STOCK'!D9-'CLOSING STOCK'!D9</f>
        <v>0</v>
      </c>
      <c r="E9" s="104">
        <f>'TOTAL STOCK'!E9-'CLOSING STOCK'!E9</f>
        <v>0</v>
      </c>
      <c r="F9" s="106">
        <f>'TOTAL STOCK'!F9-'CLOSING STOCK'!F9</f>
        <v>0</v>
      </c>
      <c r="G9" s="107">
        <f>'TOTAL STOCK'!G9-'CLOSING STOCK'!G9</f>
        <v>2</v>
      </c>
      <c r="H9" s="105">
        <f>'TOTAL STOCK'!H9-'CLOSING STOCK'!H9</f>
        <v>2</v>
      </c>
      <c r="I9" s="104">
        <f>'TOTAL STOCK'!I9-'CLOSING STOCK'!I9</f>
        <v>1</v>
      </c>
      <c r="J9" s="106">
        <f>'TOTAL STOCK'!J9-'CLOSING STOCK'!J9</f>
        <v>-42</v>
      </c>
      <c r="K9" s="107">
        <f>'TOTAL STOCK'!K9-'CLOSING STOCK'!K9</f>
        <v>0</v>
      </c>
      <c r="L9" s="105">
        <f>'TOTAL STOCK'!L9-'CLOSING STOCK'!L9</f>
        <v>0</v>
      </c>
      <c r="M9" s="77">
        <f>(C9*9*N9)+(D9*N9)+(E9*24*O9)+(F9*O9)+(G9*48*P9)+(H9*P9)+(I9*96*Q9)+(J9*Q9)+(K9*25*R9)+(L9*R9)</f>
        <v>19780</v>
      </c>
      <c r="N9" s="102">
        <v>700</v>
      </c>
      <c r="O9" s="19">
        <v>350</v>
      </c>
      <c r="P9" s="19">
        <v>155</v>
      </c>
      <c r="Q9" s="73">
        <v>85</v>
      </c>
      <c r="R9" s="4"/>
    </row>
    <row r="10" spans="1:18" ht="22.95" customHeight="1" x14ac:dyDescent="0.3">
      <c r="A10" s="3">
        <v>7</v>
      </c>
      <c r="B10" s="97" t="s">
        <v>30</v>
      </c>
      <c r="C10" s="104">
        <f>'TOTAL STOCK'!C10-'CLOSING STOCK'!C10</f>
        <v>0</v>
      </c>
      <c r="D10" s="105">
        <f>'TOTAL STOCK'!D10-'CLOSING STOCK'!D10</f>
        <v>0</v>
      </c>
      <c r="E10" s="104">
        <f>'TOTAL STOCK'!E10-'CLOSING STOCK'!E10</f>
        <v>0</v>
      </c>
      <c r="F10" s="106">
        <f>'TOTAL STOCK'!F10-'CLOSING STOCK'!F10</f>
        <v>0</v>
      </c>
      <c r="G10" s="107">
        <f>'TOTAL STOCK'!G10-'CLOSING STOCK'!G10</f>
        <v>3</v>
      </c>
      <c r="H10" s="105">
        <f>'TOTAL STOCK'!H10-'CLOSING STOCK'!H10</f>
        <v>3</v>
      </c>
      <c r="I10" s="104">
        <f>'TOTAL STOCK'!I10-'CLOSING STOCK'!I10</f>
        <v>1</v>
      </c>
      <c r="J10" s="106">
        <f>'TOTAL STOCK'!J10-'CLOSING STOCK'!J10</f>
        <v>-2</v>
      </c>
      <c r="K10" s="107">
        <f>'TOTAL STOCK'!K10-'CLOSING STOCK'!K10</f>
        <v>0</v>
      </c>
      <c r="L10" s="105">
        <f>'TOTAL STOCK'!L10-'CLOSING STOCK'!L10</f>
        <v>0</v>
      </c>
      <c r="M10" s="77">
        <f>(C10*9*N10)+(D10*N10)+(E10*24*O10)+(F10*O10)+(G10*48*P10)+(H10*P10)+(I10*96*Q10)+(J10*Q10)+(K10*25*R10)+(L10*R10)</f>
        <v>30775</v>
      </c>
      <c r="N10" s="102">
        <v>700</v>
      </c>
      <c r="O10" s="19">
        <v>350</v>
      </c>
      <c r="P10" s="19">
        <v>155</v>
      </c>
      <c r="Q10" s="73">
        <v>85</v>
      </c>
      <c r="R10" s="4"/>
    </row>
    <row r="11" spans="1:18" ht="22.95" customHeight="1" x14ac:dyDescent="0.3">
      <c r="A11" s="3">
        <v>8</v>
      </c>
      <c r="B11" s="97" t="s">
        <v>31</v>
      </c>
      <c r="C11" s="104">
        <f>'TOTAL STOCK'!C11-'CLOSING STOCK'!C11</f>
        <v>0</v>
      </c>
      <c r="D11" s="105">
        <f>'TOTAL STOCK'!D11-'CLOSING STOCK'!D11</f>
        <v>0</v>
      </c>
      <c r="E11" s="104">
        <f>'TOTAL STOCK'!E11-'CLOSING STOCK'!E11</f>
        <v>0</v>
      </c>
      <c r="F11" s="106">
        <f>'TOTAL STOCK'!F11-'CLOSING STOCK'!F11</f>
        <v>0</v>
      </c>
      <c r="G11" s="107">
        <f>'TOTAL STOCK'!G11-'CLOSING STOCK'!G11</f>
        <v>0</v>
      </c>
      <c r="H11" s="105">
        <f>'TOTAL STOCK'!H11-'CLOSING STOCK'!H11</f>
        <v>9</v>
      </c>
      <c r="I11" s="104">
        <f>'TOTAL STOCK'!I11-'CLOSING STOCK'!I11</f>
        <v>0</v>
      </c>
      <c r="J11" s="106">
        <f>'TOTAL STOCK'!J11-'CLOSING STOCK'!J11</f>
        <v>0</v>
      </c>
      <c r="K11" s="107">
        <f>'TOTAL STOCK'!K11-'CLOSING STOCK'!K11</f>
        <v>0</v>
      </c>
      <c r="L11" s="105">
        <f>'TOTAL STOCK'!L11-'CLOSING STOCK'!L11</f>
        <v>14</v>
      </c>
      <c r="M11" s="77">
        <f t="shared" si="0"/>
        <v>6290</v>
      </c>
      <c r="N11" s="102">
        <v>1800</v>
      </c>
      <c r="O11" s="19">
        <v>900</v>
      </c>
      <c r="P11" s="19">
        <v>450</v>
      </c>
      <c r="Q11" s="73">
        <v>225</v>
      </c>
      <c r="R11" s="4">
        <v>160</v>
      </c>
    </row>
    <row r="12" spans="1:18" ht="22.95" customHeight="1" x14ac:dyDescent="0.3">
      <c r="A12" s="3">
        <v>9</v>
      </c>
      <c r="B12" s="97" t="s">
        <v>32</v>
      </c>
      <c r="C12" s="104">
        <f>'TOTAL STOCK'!C12-'CLOSING STOCK'!C12</f>
        <v>0</v>
      </c>
      <c r="D12" s="105">
        <f>'TOTAL STOCK'!D12-'CLOSING STOCK'!D12</f>
        <v>1</v>
      </c>
      <c r="E12" s="104">
        <f>'TOTAL STOCK'!E12-'CLOSING STOCK'!E12</f>
        <v>0</v>
      </c>
      <c r="F12" s="106">
        <f>'TOTAL STOCK'!F12-'CLOSING STOCK'!F12</f>
        <v>2</v>
      </c>
      <c r="G12" s="107">
        <f>'TOTAL STOCK'!G12-'CLOSING STOCK'!G12</f>
        <v>1</v>
      </c>
      <c r="H12" s="105">
        <f>'TOTAL STOCK'!H12-'CLOSING STOCK'!H12</f>
        <v>30</v>
      </c>
      <c r="I12" s="104">
        <f>'TOTAL STOCK'!I12-'CLOSING STOCK'!I12</f>
        <v>0</v>
      </c>
      <c r="J12" s="106">
        <f>'TOTAL STOCK'!J12-'CLOSING STOCK'!J12</f>
        <v>54</v>
      </c>
      <c r="K12" s="107">
        <f>'TOTAL STOCK'!K12-'CLOSING STOCK'!K12</f>
        <v>0</v>
      </c>
      <c r="L12" s="105">
        <f>'TOTAL STOCK'!L12-'CLOSING STOCK'!L12</f>
        <v>0</v>
      </c>
      <c r="M12" s="77">
        <f t="shared" si="0"/>
        <v>31210</v>
      </c>
      <c r="N12" s="102">
        <v>1100</v>
      </c>
      <c r="O12" s="19">
        <v>550</v>
      </c>
      <c r="P12" s="19">
        <v>275</v>
      </c>
      <c r="Q12" s="73">
        <v>140</v>
      </c>
      <c r="R12" s="4"/>
    </row>
    <row r="13" spans="1:18" ht="22.95" customHeight="1" x14ac:dyDescent="0.3">
      <c r="A13" s="3">
        <v>10</v>
      </c>
      <c r="B13" s="97" t="s">
        <v>33</v>
      </c>
      <c r="C13" s="104">
        <f>'TOTAL STOCK'!C13-'CLOSING STOCK'!C13</f>
        <v>0</v>
      </c>
      <c r="D13" s="105">
        <f>'TOTAL STOCK'!D13-'CLOSING STOCK'!D13</f>
        <v>0</v>
      </c>
      <c r="E13" s="104">
        <f>'TOTAL STOCK'!E13-'CLOSING STOCK'!E13</f>
        <v>0</v>
      </c>
      <c r="F13" s="106">
        <f>'TOTAL STOCK'!F13-'CLOSING STOCK'!F13</f>
        <v>2</v>
      </c>
      <c r="G13" s="107">
        <f>'TOTAL STOCK'!G13-'CLOSING STOCK'!G13</f>
        <v>7</v>
      </c>
      <c r="H13" s="105">
        <f>'TOTAL STOCK'!H13-'CLOSING STOCK'!H13</f>
        <v>-23</v>
      </c>
      <c r="I13" s="104">
        <f>'TOTAL STOCK'!I13-'CLOSING STOCK'!I13</f>
        <v>2</v>
      </c>
      <c r="J13" s="106">
        <f>'TOTAL STOCK'!J13-'CLOSING STOCK'!J13</f>
        <v>34</v>
      </c>
      <c r="K13" s="107">
        <f>'TOTAL STOCK'!K13-'CLOSING STOCK'!K13</f>
        <v>0</v>
      </c>
      <c r="L13" s="105">
        <f>'TOTAL STOCK'!L13-'CLOSING STOCK'!L13</f>
        <v>0</v>
      </c>
      <c r="M13" s="77">
        <f t="shared" si="0"/>
        <v>68425</v>
      </c>
      <c r="N13" s="102">
        <v>700</v>
      </c>
      <c r="O13" s="19">
        <v>350</v>
      </c>
      <c r="P13" s="19">
        <v>155</v>
      </c>
      <c r="Q13" s="73">
        <v>85</v>
      </c>
      <c r="R13" s="4"/>
    </row>
    <row r="14" spans="1:18" ht="22.95" customHeight="1" x14ac:dyDescent="0.3">
      <c r="A14" s="3">
        <v>11</v>
      </c>
      <c r="B14" s="97" t="s">
        <v>34</v>
      </c>
      <c r="C14" s="104">
        <f>'TOTAL STOCK'!C14-'CLOSING STOCK'!C14</f>
        <v>0</v>
      </c>
      <c r="D14" s="105">
        <f>'TOTAL STOCK'!D14-'CLOSING STOCK'!D14</f>
        <v>0</v>
      </c>
      <c r="E14" s="104">
        <f>'TOTAL STOCK'!E14-'CLOSING STOCK'!E14</f>
        <v>0</v>
      </c>
      <c r="F14" s="106">
        <f>'TOTAL STOCK'!F14-'CLOSING STOCK'!F14</f>
        <v>0</v>
      </c>
      <c r="G14" s="107">
        <f>'TOTAL STOCK'!G14-'CLOSING STOCK'!G14</f>
        <v>0</v>
      </c>
      <c r="H14" s="105">
        <f>'TOTAL STOCK'!H14-'CLOSING STOCK'!H14</f>
        <v>0</v>
      </c>
      <c r="I14" s="104">
        <f>'TOTAL STOCK'!I14-'CLOSING STOCK'!I14</f>
        <v>0</v>
      </c>
      <c r="J14" s="106">
        <f>'TOTAL STOCK'!J14-'CLOSING STOCK'!J14</f>
        <v>0</v>
      </c>
      <c r="K14" s="107">
        <f>'TOTAL STOCK'!K14-'CLOSING STOCK'!K14</f>
        <v>0</v>
      </c>
      <c r="L14" s="105">
        <f>'TOTAL STOCK'!L14-'CLOSING STOCK'!L14</f>
        <v>0</v>
      </c>
      <c r="M14" s="77">
        <f t="shared" si="0"/>
        <v>0</v>
      </c>
      <c r="N14" s="102">
        <v>2000</v>
      </c>
      <c r="O14" s="19">
        <v>1000</v>
      </c>
      <c r="P14" s="19">
        <v>500</v>
      </c>
      <c r="Q14" s="73">
        <v>250</v>
      </c>
      <c r="R14" s="4">
        <v>200</v>
      </c>
    </row>
    <row r="15" spans="1:18" ht="22.95" customHeight="1" x14ac:dyDescent="0.3">
      <c r="A15" s="3">
        <v>12</v>
      </c>
      <c r="B15" s="97" t="s">
        <v>35</v>
      </c>
      <c r="C15" s="104">
        <f>'TOTAL STOCK'!C15-'CLOSING STOCK'!C15</f>
        <v>0</v>
      </c>
      <c r="D15" s="105">
        <f>'TOTAL STOCK'!D15-'CLOSING STOCK'!D15</f>
        <v>0</v>
      </c>
      <c r="E15" s="104">
        <f>'TOTAL STOCK'!E15-'CLOSING STOCK'!E15</f>
        <v>0</v>
      </c>
      <c r="F15" s="106">
        <f>'TOTAL STOCK'!F15-'CLOSING STOCK'!F15</f>
        <v>0</v>
      </c>
      <c r="G15" s="107">
        <f>'TOTAL STOCK'!G15-'CLOSING STOCK'!G15</f>
        <v>0</v>
      </c>
      <c r="H15" s="105">
        <f>'TOTAL STOCK'!H15-'CLOSING STOCK'!H15</f>
        <v>6</v>
      </c>
      <c r="I15" s="104">
        <f>'TOTAL STOCK'!I15-'CLOSING STOCK'!I15</f>
        <v>0</v>
      </c>
      <c r="J15" s="106">
        <f>'TOTAL STOCK'!J15-'CLOSING STOCK'!J15</f>
        <v>9</v>
      </c>
      <c r="K15" s="107">
        <f>'TOTAL STOCK'!K15-'CLOSING STOCK'!K15</f>
        <v>0</v>
      </c>
      <c r="L15" s="105">
        <f>'TOTAL STOCK'!L15-'CLOSING STOCK'!L15</f>
        <v>0</v>
      </c>
      <c r="M15" s="77">
        <f t="shared" si="0"/>
        <v>1695</v>
      </c>
      <c r="N15" s="102">
        <v>520</v>
      </c>
      <c r="O15" s="19">
        <v>260</v>
      </c>
      <c r="P15" s="19">
        <v>155</v>
      </c>
      <c r="Q15" s="73">
        <v>85</v>
      </c>
      <c r="R15" s="4"/>
    </row>
    <row r="16" spans="1:18" ht="22.95" customHeight="1" x14ac:dyDescent="0.3">
      <c r="A16" s="3">
        <v>13</v>
      </c>
      <c r="B16" s="97" t="s">
        <v>36</v>
      </c>
      <c r="C16" s="104">
        <f>'TOTAL STOCK'!C16-'CLOSING STOCK'!C16</f>
        <v>0</v>
      </c>
      <c r="D16" s="105">
        <f>'TOTAL STOCK'!D16-'CLOSING STOCK'!D16</f>
        <v>1</v>
      </c>
      <c r="E16" s="104">
        <f>'TOTAL STOCK'!E16-'CLOSING STOCK'!E16</f>
        <v>0</v>
      </c>
      <c r="F16" s="106">
        <f>'TOTAL STOCK'!F16-'CLOSING STOCK'!F16</f>
        <v>4</v>
      </c>
      <c r="G16" s="107">
        <f>'TOTAL STOCK'!G16-'CLOSING STOCK'!G16</f>
        <v>2</v>
      </c>
      <c r="H16" s="105">
        <f>'TOTAL STOCK'!H16-'CLOSING STOCK'!H16</f>
        <v>31</v>
      </c>
      <c r="I16" s="104">
        <f>'TOTAL STOCK'!I16-'CLOSING STOCK'!I16</f>
        <v>1</v>
      </c>
      <c r="J16" s="106">
        <f>'TOTAL STOCK'!J16-'CLOSING STOCK'!J16</f>
        <v>-36</v>
      </c>
      <c r="K16" s="107">
        <f>'TOTAL STOCK'!K16-'CLOSING STOCK'!K16</f>
        <v>0</v>
      </c>
      <c r="L16" s="105">
        <f>'TOTAL STOCK'!L16-'CLOSING STOCK'!L16</f>
        <v>0</v>
      </c>
      <c r="M16" s="77">
        <f t="shared" si="0"/>
        <v>37085</v>
      </c>
      <c r="N16" s="102">
        <v>860</v>
      </c>
      <c r="O16" s="19">
        <v>430</v>
      </c>
      <c r="P16" s="19">
        <v>215</v>
      </c>
      <c r="Q16" s="73">
        <v>120</v>
      </c>
      <c r="R16" s="4"/>
    </row>
    <row r="17" spans="1:18" ht="22.95" customHeight="1" x14ac:dyDescent="0.3">
      <c r="A17" s="3">
        <v>14</v>
      </c>
      <c r="B17" s="97" t="s">
        <v>37</v>
      </c>
      <c r="C17" s="104">
        <f>'TOTAL STOCK'!C17-'CLOSING STOCK'!C17</f>
        <v>0</v>
      </c>
      <c r="D17" s="105">
        <f>'TOTAL STOCK'!D17-'CLOSING STOCK'!D17</f>
        <v>0</v>
      </c>
      <c r="E17" s="104">
        <f>'TOTAL STOCK'!E17-'CLOSING STOCK'!E17</f>
        <v>0</v>
      </c>
      <c r="F17" s="106">
        <f>'TOTAL STOCK'!F17-'CLOSING STOCK'!F17</f>
        <v>0</v>
      </c>
      <c r="G17" s="107">
        <f>'TOTAL STOCK'!G17-'CLOSING STOCK'!G17</f>
        <v>4</v>
      </c>
      <c r="H17" s="105">
        <f>'TOTAL STOCK'!H17-'CLOSING STOCK'!H17</f>
        <v>-12</v>
      </c>
      <c r="I17" s="104">
        <f>'TOTAL STOCK'!I17-'CLOSING STOCK'!I17</f>
        <v>2</v>
      </c>
      <c r="J17" s="106">
        <f>'TOTAL STOCK'!J17-'CLOSING STOCK'!J17</f>
        <v>14</v>
      </c>
      <c r="K17" s="107">
        <f>'TOTAL STOCK'!K17-'CLOSING STOCK'!K17</f>
        <v>0</v>
      </c>
      <c r="L17" s="105">
        <f>'TOTAL STOCK'!L17-'CLOSING STOCK'!L17</f>
        <v>0</v>
      </c>
      <c r="M17" s="77">
        <f t="shared" si="0"/>
        <v>31130</v>
      </c>
      <c r="N17" s="102">
        <v>400</v>
      </c>
      <c r="O17" s="19">
        <v>200</v>
      </c>
      <c r="P17" s="19">
        <v>110</v>
      </c>
      <c r="Q17" s="73">
        <v>55</v>
      </c>
      <c r="R17" s="4"/>
    </row>
    <row r="18" spans="1:18" ht="22.95" customHeight="1" x14ac:dyDescent="0.3">
      <c r="A18" s="3">
        <v>15</v>
      </c>
      <c r="B18" s="97" t="s">
        <v>38</v>
      </c>
      <c r="C18" s="104">
        <f>'TOTAL STOCK'!C18-'CLOSING STOCK'!C18</f>
        <v>0</v>
      </c>
      <c r="D18" s="105">
        <f>'TOTAL STOCK'!D18-'CLOSING STOCK'!D18</f>
        <v>0</v>
      </c>
      <c r="E18" s="104">
        <f>'TOTAL STOCK'!E18-'CLOSING STOCK'!E18</f>
        <v>0</v>
      </c>
      <c r="F18" s="106">
        <f>'TOTAL STOCK'!F18-'CLOSING STOCK'!F18</f>
        <v>0</v>
      </c>
      <c r="G18" s="107">
        <f>'TOTAL STOCK'!G18-'CLOSING STOCK'!G18</f>
        <v>0</v>
      </c>
      <c r="H18" s="105">
        <f>'TOTAL STOCK'!H18-'CLOSING STOCK'!H18</f>
        <v>0</v>
      </c>
      <c r="I18" s="104">
        <f>'TOTAL STOCK'!I18-'CLOSING STOCK'!I18</f>
        <v>0</v>
      </c>
      <c r="J18" s="106">
        <f>'TOTAL STOCK'!J18-'CLOSING STOCK'!J18</f>
        <v>0</v>
      </c>
      <c r="K18" s="107">
        <f>'TOTAL STOCK'!K18-'CLOSING STOCK'!K18</f>
        <v>0</v>
      </c>
      <c r="L18" s="105">
        <f>'TOTAL STOCK'!L18-'CLOSING STOCK'!L18</f>
        <v>0</v>
      </c>
      <c r="M18" s="77">
        <f t="shared" si="0"/>
        <v>0</v>
      </c>
      <c r="N18" s="102">
        <v>1800</v>
      </c>
      <c r="O18" s="19">
        <v>900</v>
      </c>
      <c r="P18" s="19">
        <v>340</v>
      </c>
      <c r="Q18" s="73">
        <v>195</v>
      </c>
      <c r="R18" s="4"/>
    </row>
    <row r="19" spans="1:18" ht="22.95" customHeight="1" x14ac:dyDescent="0.3">
      <c r="A19" s="3">
        <v>16</v>
      </c>
      <c r="B19" s="97" t="s">
        <v>39</v>
      </c>
      <c r="C19" s="104">
        <f>'TOTAL STOCK'!C19-'CLOSING STOCK'!C19</f>
        <v>0</v>
      </c>
      <c r="D19" s="105">
        <f>'TOTAL STOCK'!D19-'CLOSING STOCK'!D19</f>
        <v>0</v>
      </c>
      <c r="E19" s="104">
        <f>'TOTAL STOCK'!E19-'CLOSING STOCK'!E19</f>
        <v>0</v>
      </c>
      <c r="F19" s="106">
        <f>'TOTAL STOCK'!F19-'CLOSING STOCK'!F19</f>
        <v>0</v>
      </c>
      <c r="G19" s="107">
        <f>'TOTAL STOCK'!G19-'CLOSING STOCK'!G19</f>
        <v>0</v>
      </c>
      <c r="H19" s="105">
        <f>'TOTAL STOCK'!H19-'CLOSING STOCK'!H19</f>
        <v>4</v>
      </c>
      <c r="I19" s="104">
        <f>'TOTAL STOCK'!I19-'CLOSING STOCK'!I19</f>
        <v>0</v>
      </c>
      <c r="J19" s="106">
        <f>'TOTAL STOCK'!J19-'CLOSING STOCK'!J19</f>
        <v>0</v>
      </c>
      <c r="K19" s="107">
        <f>'TOTAL STOCK'!K19-'CLOSING STOCK'!K19</f>
        <v>0</v>
      </c>
      <c r="L19" s="105">
        <f>'TOTAL STOCK'!L19-'CLOSING STOCK'!L19</f>
        <v>11</v>
      </c>
      <c r="M19" s="77">
        <f t="shared" si="0"/>
        <v>3910</v>
      </c>
      <c r="N19" s="102">
        <v>2000</v>
      </c>
      <c r="O19" s="19">
        <v>1000</v>
      </c>
      <c r="P19" s="19">
        <v>510</v>
      </c>
      <c r="Q19" s="73">
        <v>240</v>
      </c>
      <c r="R19" s="4">
        <v>170</v>
      </c>
    </row>
    <row r="20" spans="1:18" ht="22.95" customHeight="1" x14ac:dyDescent="0.3">
      <c r="A20" s="3">
        <v>17</v>
      </c>
      <c r="B20" s="97" t="s">
        <v>144</v>
      </c>
      <c r="C20" s="104">
        <f>'TOTAL STOCK'!C20-'CLOSING STOCK'!C20</f>
        <v>0</v>
      </c>
      <c r="D20" s="105">
        <f>'TOTAL STOCK'!D20-'CLOSING STOCK'!D20</f>
        <v>0</v>
      </c>
      <c r="E20" s="104">
        <f>'TOTAL STOCK'!E20-'CLOSING STOCK'!E20</f>
        <v>0</v>
      </c>
      <c r="F20" s="106">
        <f>'TOTAL STOCK'!F20-'CLOSING STOCK'!F20</f>
        <v>0</v>
      </c>
      <c r="G20" s="107">
        <f>'TOTAL STOCK'!G20-'CLOSING STOCK'!G20</f>
        <v>0</v>
      </c>
      <c r="H20" s="105">
        <f>'TOTAL STOCK'!H20-'CLOSING STOCK'!H20</f>
        <v>0</v>
      </c>
      <c r="I20" s="104">
        <f>'TOTAL STOCK'!I20-'CLOSING STOCK'!I20</f>
        <v>0</v>
      </c>
      <c r="J20" s="106">
        <f>'TOTAL STOCK'!J20-'CLOSING STOCK'!J20</f>
        <v>0</v>
      </c>
      <c r="K20" s="107">
        <f>'TOTAL STOCK'!K20-'CLOSING STOCK'!K20</f>
        <v>0</v>
      </c>
      <c r="L20" s="105">
        <f>'TOTAL STOCK'!L20-'CLOSING STOCK'!L20</f>
        <v>0</v>
      </c>
      <c r="M20" s="77">
        <f t="shared" si="0"/>
        <v>0</v>
      </c>
      <c r="N20" s="102">
        <v>1080</v>
      </c>
      <c r="O20" s="19">
        <v>540</v>
      </c>
      <c r="P20" s="19">
        <v>270</v>
      </c>
      <c r="Q20" s="73">
        <v>150</v>
      </c>
      <c r="R20" s="4"/>
    </row>
    <row r="21" spans="1:18" ht="22.95" customHeight="1" x14ac:dyDescent="0.3">
      <c r="A21" s="3">
        <v>18</v>
      </c>
      <c r="B21" s="97" t="s">
        <v>40</v>
      </c>
      <c r="C21" s="104">
        <f>'TOTAL STOCK'!C21-'CLOSING STOCK'!C21</f>
        <v>0</v>
      </c>
      <c r="D21" s="105">
        <f>'TOTAL STOCK'!D21-'CLOSING STOCK'!D21</f>
        <v>0</v>
      </c>
      <c r="E21" s="104">
        <f>'TOTAL STOCK'!E21-'CLOSING STOCK'!E21</f>
        <v>0</v>
      </c>
      <c r="F21" s="106">
        <f>'TOTAL STOCK'!F21-'CLOSING STOCK'!F21</f>
        <v>0</v>
      </c>
      <c r="G21" s="107">
        <f>'TOTAL STOCK'!G21-'CLOSING STOCK'!G21</f>
        <v>0</v>
      </c>
      <c r="H21" s="105">
        <f>'TOTAL STOCK'!H21-'CLOSING STOCK'!H21</f>
        <v>2</v>
      </c>
      <c r="I21" s="104">
        <f>'TOTAL STOCK'!I21-'CLOSING STOCK'!I21</f>
        <v>1</v>
      </c>
      <c r="J21" s="106">
        <f>'TOTAL STOCK'!J21-'CLOSING STOCK'!J21</f>
        <v>-71</v>
      </c>
      <c r="K21" s="107">
        <f>'TOTAL STOCK'!K21-'CLOSING STOCK'!K21</f>
        <v>0</v>
      </c>
      <c r="L21" s="105">
        <f>'TOTAL STOCK'!L21-'CLOSING STOCK'!L21</f>
        <v>0</v>
      </c>
      <c r="M21" s="77">
        <f t="shared" si="0"/>
        <v>1450</v>
      </c>
      <c r="N21" s="102">
        <v>340</v>
      </c>
      <c r="O21" s="19">
        <v>170</v>
      </c>
      <c r="P21" s="19">
        <v>100</v>
      </c>
      <c r="Q21" s="73">
        <v>50</v>
      </c>
      <c r="R21" s="4"/>
    </row>
    <row r="22" spans="1:18" ht="22.95" customHeight="1" x14ac:dyDescent="0.3">
      <c r="A22" s="3">
        <v>19</v>
      </c>
      <c r="B22" s="100">
        <v>0</v>
      </c>
      <c r="C22" s="104">
        <f>'TOTAL STOCK'!C22-'CLOSING STOCK'!C22</f>
        <v>0</v>
      </c>
      <c r="D22" s="105">
        <f>'TOTAL STOCK'!D22-'CLOSING STOCK'!D22</f>
        <v>0</v>
      </c>
      <c r="E22" s="104">
        <f>'TOTAL STOCK'!E22-'CLOSING STOCK'!E22</f>
        <v>0</v>
      </c>
      <c r="F22" s="106">
        <f>'TOTAL STOCK'!F22-'CLOSING STOCK'!F22</f>
        <v>0</v>
      </c>
      <c r="G22" s="107">
        <f>'TOTAL STOCK'!G22-'CLOSING STOCK'!G22</f>
        <v>0</v>
      </c>
      <c r="H22" s="105">
        <f>'TOTAL STOCK'!H22-'CLOSING STOCK'!H22</f>
        <v>0</v>
      </c>
      <c r="I22" s="104">
        <f>'TOTAL STOCK'!I22-'CLOSING STOCK'!I22</f>
        <v>0</v>
      </c>
      <c r="J22" s="106">
        <f>'TOTAL STOCK'!J22-'CLOSING STOCK'!J22</f>
        <v>0</v>
      </c>
      <c r="K22" s="107">
        <f>'TOTAL STOCK'!K22-'CLOSING STOCK'!K22</f>
        <v>0</v>
      </c>
      <c r="L22" s="105">
        <f>'TOTAL STOCK'!L22-'CLOSING STOCK'!L22</f>
        <v>0</v>
      </c>
      <c r="M22" s="77">
        <f t="shared" si="0"/>
        <v>0</v>
      </c>
      <c r="N22" s="102">
        <v>480</v>
      </c>
      <c r="O22" s="19">
        <v>240</v>
      </c>
      <c r="P22" s="19">
        <v>120</v>
      </c>
      <c r="Q22" s="73">
        <v>75</v>
      </c>
      <c r="R22" s="4"/>
    </row>
    <row r="23" spans="1:18" ht="22.95" customHeight="1" x14ac:dyDescent="0.3">
      <c r="A23" s="3">
        <v>20</v>
      </c>
      <c r="B23" s="97" t="s">
        <v>41</v>
      </c>
      <c r="C23" s="104">
        <f>'TOTAL STOCK'!C23-'CLOSING STOCK'!C23</f>
        <v>0</v>
      </c>
      <c r="D23" s="105">
        <f>'TOTAL STOCK'!D23-'CLOSING STOCK'!D23</f>
        <v>1</v>
      </c>
      <c r="E23" s="104">
        <f>'TOTAL STOCK'!E23-'CLOSING STOCK'!E23</f>
        <v>0</v>
      </c>
      <c r="F23" s="106">
        <f>'TOTAL STOCK'!F23-'CLOSING STOCK'!F23</f>
        <v>4</v>
      </c>
      <c r="G23" s="107">
        <f>'TOTAL STOCK'!G23-'CLOSING STOCK'!G23</f>
        <v>1</v>
      </c>
      <c r="H23" s="105">
        <f>'TOTAL STOCK'!H23-'CLOSING STOCK'!H23</f>
        <v>-34</v>
      </c>
      <c r="I23" s="104">
        <f>'TOTAL STOCK'!I23-'CLOSING STOCK'!I23</f>
        <v>0</v>
      </c>
      <c r="J23" s="106">
        <f>'TOTAL STOCK'!J23-'CLOSING STOCK'!J23</f>
        <v>-2</v>
      </c>
      <c r="K23" s="107">
        <f>'TOTAL STOCK'!K23-'CLOSING STOCK'!K23</f>
        <v>0</v>
      </c>
      <c r="L23" s="105">
        <f>'TOTAL STOCK'!L23-'CLOSING STOCK'!L23</f>
        <v>0</v>
      </c>
      <c r="M23" s="77">
        <f t="shared" si="0"/>
        <v>8740</v>
      </c>
      <c r="N23" s="102">
        <v>1400</v>
      </c>
      <c r="O23" s="19">
        <v>700</v>
      </c>
      <c r="P23" s="19">
        <v>350</v>
      </c>
      <c r="Q23" s="73">
        <v>180</v>
      </c>
      <c r="R23" s="4">
        <v>120</v>
      </c>
    </row>
    <row r="24" spans="1:18" ht="22.95" customHeight="1" x14ac:dyDescent="0.3">
      <c r="A24" s="3">
        <v>21</v>
      </c>
      <c r="B24" s="97" t="s">
        <v>42</v>
      </c>
      <c r="C24" s="104">
        <f>'TOTAL STOCK'!C24-'CLOSING STOCK'!C24</f>
        <v>0</v>
      </c>
      <c r="D24" s="105">
        <f>'TOTAL STOCK'!D24-'CLOSING STOCK'!D24</f>
        <v>0</v>
      </c>
      <c r="E24" s="104">
        <f>'TOTAL STOCK'!E24-'CLOSING STOCK'!E24</f>
        <v>0</v>
      </c>
      <c r="F24" s="106">
        <f>'TOTAL STOCK'!F24-'CLOSING STOCK'!F24</f>
        <v>0</v>
      </c>
      <c r="G24" s="107">
        <f>'TOTAL STOCK'!G24-'CLOSING STOCK'!G24</f>
        <v>1</v>
      </c>
      <c r="H24" s="105">
        <f>'TOTAL STOCK'!H24-'CLOSING STOCK'!H24</f>
        <v>-26</v>
      </c>
      <c r="I24" s="104">
        <f>'TOTAL STOCK'!I24-'CLOSING STOCK'!I24</f>
        <v>1</v>
      </c>
      <c r="J24" s="106">
        <f>'TOTAL STOCK'!J24-'CLOSING STOCK'!J24</f>
        <v>-20</v>
      </c>
      <c r="K24" s="107">
        <f>'TOTAL STOCK'!K24-'CLOSING STOCK'!K24</f>
        <v>0</v>
      </c>
      <c r="L24" s="105">
        <f>'TOTAL STOCK'!L24-'CLOSING STOCK'!L24</f>
        <v>0</v>
      </c>
      <c r="M24" s="77">
        <f t="shared" si="0"/>
        <v>7200</v>
      </c>
      <c r="N24" s="102">
        <v>400</v>
      </c>
      <c r="O24" s="19">
        <v>200</v>
      </c>
      <c r="P24" s="19">
        <v>120</v>
      </c>
      <c r="Q24" s="73">
        <v>60</v>
      </c>
      <c r="R24" s="4"/>
    </row>
    <row r="25" spans="1:18" ht="22.95" customHeight="1" x14ac:dyDescent="0.3">
      <c r="A25" s="3">
        <v>22</v>
      </c>
      <c r="B25" s="97" t="s">
        <v>142</v>
      </c>
      <c r="C25" s="104">
        <f>'TOTAL STOCK'!C25-'CLOSING STOCK'!C25</f>
        <v>0</v>
      </c>
      <c r="D25" s="105">
        <f>'TOTAL STOCK'!D25-'CLOSING STOCK'!D25</f>
        <v>0</v>
      </c>
      <c r="E25" s="104">
        <f>'TOTAL STOCK'!E25-'CLOSING STOCK'!E25</f>
        <v>0</v>
      </c>
      <c r="F25" s="106">
        <f>'TOTAL STOCK'!F25-'CLOSING STOCK'!F25</f>
        <v>0</v>
      </c>
      <c r="G25" s="107">
        <f>'TOTAL STOCK'!G25-'CLOSING STOCK'!G25</f>
        <v>0</v>
      </c>
      <c r="H25" s="105">
        <f>'TOTAL STOCK'!H25-'CLOSING STOCK'!H25</f>
        <v>1</v>
      </c>
      <c r="I25" s="104">
        <f>'TOTAL STOCK'!I25-'CLOSING STOCK'!I25</f>
        <v>0</v>
      </c>
      <c r="J25" s="106">
        <f>'TOTAL STOCK'!J25-'CLOSING STOCK'!J25</f>
        <v>0</v>
      </c>
      <c r="K25" s="107">
        <f>'TOTAL STOCK'!K25-'CLOSING STOCK'!K25</f>
        <v>0</v>
      </c>
      <c r="L25" s="105">
        <f>'TOTAL STOCK'!L25-'CLOSING STOCK'!L25</f>
        <v>0</v>
      </c>
      <c r="M25" s="77">
        <f t="shared" si="0"/>
        <v>220</v>
      </c>
      <c r="N25" s="102">
        <v>880</v>
      </c>
      <c r="O25" s="19">
        <v>440</v>
      </c>
      <c r="P25" s="19">
        <v>220</v>
      </c>
      <c r="Q25" s="73">
        <v>120</v>
      </c>
      <c r="R25" s="4"/>
    </row>
    <row r="26" spans="1:18" ht="22.95" customHeight="1" x14ac:dyDescent="0.3">
      <c r="A26" s="3">
        <v>23</v>
      </c>
      <c r="B26" s="98" t="s">
        <v>43</v>
      </c>
      <c r="C26" s="104">
        <f>'TOTAL STOCK'!C26-'CLOSING STOCK'!C26</f>
        <v>0</v>
      </c>
      <c r="D26" s="105">
        <f>'TOTAL STOCK'!D26-'CLOSING STOCK'!D26</f>
        <v>0</v>
      </c>
      <c r="E26" s="104">
        <f>'TOTAL STOCK'!E26-'CLOSING STOCK'!E26</f>
        <v>0</v>
      </c>
      <c r="F26" s="106">
        <f>'TOTAL STOCK'!F26-'CLOSING STOCK'!F26</f>
        <v>0</v>
      </c>
      <c r="G26" s="107">
        <f>'TOTAL STOCK'!G26-'CLOSING STOCK'!G26</f>
        <v>1</v>
      </c>
      <c r="H26" s="105">
        <f>'TOTAL STOCK'!H26-'CLOSING STOCK'!H26</f>
        <v>-17</v>
      </c>
      <c r="I26" s="104">
        <f>'TOTAL STOCK'!I26-'CLOSING STOCK'!I26</f>
        <v>1</v>
      </c>
      <c r="J26" s="106">
        <f>'TOTAL STOCK'!J26-'CLOSING STOCK'!J26</f>
        <v>-73</v>
      </c>
      <c r="K26" s="107">
        <f>'TOTAL STOCK'!K26-'CLOSING STOCK'!K26</f>
        <v>0</v>
      </c>
      <c r="L26" s="105">
        <f>'TOTAL STOCK'!L26-'CLOSING STOCK'!L26</f>
        <v>0</v>
      </c>
      <c r="M26" s="77">
        <f t="shared" si="0"/>
        <v>6760</v>
      </c>
      <c r="N26" s="102">
        <v>600</v>
      </c>
      <c r="O26" s="19">
        <v>300</v>
      </c>
      <c r="P26" s="19">
        <v>155</v>
      </c>
      <c r="Q26" s="73">
        <v>85</v>
      </c>
      <c r="R26" s="4"/>
    </row>
    <row r="27" spans="1:18" ht="22.95" customHeight="1" x14ac:dyDescent="0.3">
      <c r="A27" s="3">
        <v>24</v>
      </c>
      <c r="B27" s="97" t="s">
        <v>44</v>
      </c>
      <c r="C27" s="104">
        <f>'TOTAL STOCK'!C27-'CLOSING STOCK'!C27</f>
        <v>0</v>
      </c>
      <c r="D27" s="105">
        <f>'TOTAL STOCK'!D27-'CLOSING STOCK'!D27</f>
        <v>2</v>
      </c>
      <c r="E27" s="104">
        <f>'TOTAL STOCK'!E27-'CLOSING STOCK'!E27</f>
        <v>0</v>
      </c>
      <c r="F27" s="106">
        <f>'TOTAL STOCK'!F27-'CLOSING STOCK'!F27</f>
        <v>9</v>
      </c>
      <c r="G27" s="107">
        <f>'TOTAL STOCK'!G27-'CLOSING STOCK'!G27</f>
        <v>2</v>
      </c>
      <c r="H27" s="105">
        <f>'TOTAL STOCK'!H27-'CLOSING STOCK'!H27</f>
        <v>3</v>
      </c>
      <c r="I27" s="104">
        <f>'TOTAL STOCK'!I27-'CLOSING STOCK'!I27</f>
        <v>1</v>
      </c>
      <c r="J27" s="106">
        <f>'TOTAL STOCK'!J27-'CLOSING STOCK'!J27</f>
        <v>-34</v>
      </c>
      <c r="K27" s="107">
        <f>'TOTAL STOCK'!K27-'CLOSING STOCK'!K27</f>
        <v>0</v>
      </c>
      <c r="L27" s="105">
        <f>'TOTAL STOCK'!L27-'CLOSING STOCK'!L27</f>
        <v>0</v>
      </c>
      <c r="M27" s="77">
        <f t="shared" si="0"/>
        <v>43675</v>
      </c>
      <c r="N27" s="102">
        <v>1100</v>
      </c>
      <c r="O27" s="19">
        <v>550</v>
      </c>
      <c r="P27" s="19">
        <v>275</v>
      </c>
      <c r="Q27" s="73">
        <v>150</v>
      </c>
      <c r="R27" s="4"/>
    </row>
    <row r="28" spans="1:18" ht="22.95" customHeight="1" x14ac:dyDescent="0.3">
      <c r="A28" s="3">
        <v>25</v>
      </c>
      <c r="B28" s="97" t="s">
        <v>45</v>
      </c>
      <c r="C28" s="104">
        <f>'TOTAL STOCK'!C28-'CLOSING STOCK'!C28</f>
        <v>0</v>
      </c>
      <c r="D28" s="105">
        <f>'TOTAL STOCK'!D28-'CLOSING STOCK'!D28</f>
        <v>0</v>
      </c>
      <c r="E28" s="104">
        <f>'TOTAL STOCK'!E28-'CLOSING STOCK'!E28</f>
        <v>0</v>
      </c>
      <c r="F28" s="106">
        <f>'TOTAL STOCK'!F28-'CLOSING STOCK'!F28</f>
        <v>0</v>
      </c>
      <c r="G28" s="107">
        <f>'TOTAL STOCK'!G28-'CLOSING STOCK'!G28</f>
        <v>0</v>
      </c>
      <c r="H28" s="105">
        <f>'TOTAL STOCK'!H28-'CLOSING STOCK'!H28</f>
        <v>0</v>
      </c>
      <c r="I28" s="104">
        <f>'TOTAL STOCK'!I28-'CLOSING STOCK'!I28</f>
        <v>0</v>
      </c>
      <c r="J28" s="106">
        <f>'TOTAL STOCK'!J28-'CLOSING STOCK'!J28</f>
        <v>0</v>
      </c>
      <c r="K28" s="107">
        <f>'TOTAL STOCK'!K28-'CLOSING STOCK'!K28</f>
        <v>0</v>
      </c>
      <c r="L28" s="105">
        <f>'TOTAL STOCK'!L28-'CLOSING STOCK'!L28</f>
        <v>0</v>
      </c>
      <c r="M28" s="77">
        <f t="shared" si="0"/>
        <v>0</v>
      </c>
      <c r="N28" s="102">
        <v>2720</v>
      </c>
      <c r="O28" s="19">
        <v>1360</v>
      </c>
      <c r="P28" s="19">
        <v>680</v>
      </c>
      <c r="Q28" s="73">
        <v>340</v>
      </c>
      <c r="R28" s="4">
        <v>250</v>
      </c>
    </row>
    <row r="29" spans="1:18" ht="22.95" customHeight="1" x14ac:dyDescent="0.3">
      <c r="A29" s="3">
        <v>26</v>
      </c>
      <c r="B29" s="97" t="s">
        <v>46</v>
      </c>
      <c r="C29" s="104">
        <f>'TOTAL STOCK'!C29-'CLOSING STOCK'!C29</f>
        <v>0</v>
      </c>
      <c r="D29" s="105">
        <f>'TOTAL STOCK'!D29-'CLOSING STOCK'!D29</f>
        <v>0</v>
      </c>
      <c r="E29" s="104">
        <f>'TOTAL STOCK'!E29-'CLOSING STOCK'!E29</f>
        <v>0</v>
      </c>
      <c r="F29" s="106">
        <f>'TOTAL STOCK'!F29-'CLOSING STOCK'!F29</f>
        <v>0</v>
      </c>
      <c r="G29" s="107">
        <f>'TOTAL STOCK'!G29-'CLOSING STOCK'!G29</f>
        <v>0</v>
      </c>
      <c r="H29" s="105">
        <f>'TOTAL STOCK'!H29-'CLOSING STOCK'!H29</f>
        <v>1</v>
      </c>
      <c r="I29" s="104">
        <f>'TOTAL STOCK'!I29-'CLOSING STOCK'!I29</f>
        <v>0</v>
      </c>
      <c r="J29" s="106">
        <f>'TOTAL STOCK'!J29-'CLOSING STOCK'!J29</f>
        <v>0</v>
      </c>
      <c r="K29" s="107">
        <f>'TOTAL STOCK'!K29-'CLOSING STOCK'!K29</f>
        <v>0</v>
      </c>
      <c r="L29" s="105">
        <f>'TOTAL STOCK'!L29-'CLOSING STOCK'!L29</f>
        <v>6</v>
      </c>
      <c r="M29" s="77">
        <f t="shared" si="0"/>
        <v>2180</v>
      </c>
      <c r="N29" s="102">
        <v>2720</v>
      </c>
      <c r="O29" s="19">
        <v>1360</v>
      </c>
      <c r="P29" s="19">
        <v>680</v>
      </c>
      <c r="Q29" s="73">
        <v>340</v>
      </c>
      <c r="R29" s="4">
        <v>250</v>
      </c>
    </row>
    <row r="30" spans="1:18" ht="22.95" customHeight="1" x14ac:dyDescent="0.3">
      <c r="A30" s="3">
        <v>27</v>
      </c>
      <c r="B30" s="97" t="s">
        <v>136</v>
      </c>
      <c r="C30" s="104">
        <f>'TOTAL STOCK'!C30-'CLOSING STOCK'!C30</f>
        <v>0</v>
      </c>
      <c r="D30" s="105">
        <f>'TOTAL STOCK'!D30-'CLOSING STOCK'!D30</f>
        <v>0</v>
      </c>
      <c r="E30" s="104">
        <f>'TOTAL STOCK'!E30-'CLOSING STOCK'!E30</f>
        <v>0</v>
      </c>
      <c r="F30" s="106">
        <f>'TOTAL STOCK'!F30-'CLOSING STOCK'!F30</f>
        <v>0</v>
      </c>
      <c r="G30" s="107">
        <f>'TOTAL STOCK'!G30-'CLOSING STOCK'!G30</f>
        <v>0</v>
      </c>
      <c r="H30" s="105">
        <f>'TOTAL STOCK'!H30-'CLOSING STOCK'!H30</f>
        <v>0</v>
      </c>
      <c r="I30" s="104">
        <f>'TOTAL STOCK'!I30-'CLOSING STOCK'!I30</f>
        <v>0</v>
      </c>
      <c r="J30" s="106">
        <f>'TOTAL STOCK'!J30-'CLOSING STOCK'!J30</f>
        <v>0</v>
      </c>
      <c r="K30" s="107">
        <f>'TOTAL STOCK'!K30-'CLOSING STOCK'!K30</f>
        <v>0</v>
      </c>
      <c r="L30" s="105">
        <f>'TOTAL STOCK'!L30-'CLOSING STOCK'!L30</f>
        <v>0</v>
      </c>
      <c r="M30" s="77">
        <f t="shared" si="0"/>
        <v>0</v>
      </c>
      <c r="N30" s="102">
        <v>720</v>
      </c>
      <c r="O30" s="19">
        <v>360</v>
      </c>
      <c r="P30" s="19">
        <v>180</v>
      </c>
      <c r="Q30" s="73">
        <v>90</v>
      </c>
      <c r="R30" s="4"/>
    </row>
    <row r="31" spans="1:18" ht="22.95" customHeight="1" x14ac:dyDescent="0.3">
      <c r="A31" s="3">
        <v>28</v>
      </c>
      <c r="B31" s="97" t="s">
        <v>47</v>
      </c>
      <c r="C31" s="104">
        <f>'TOTAL STOCK'!C31-'CLOSING STOCK'!C31</f>
        <v>0</v>
      </c>
      <c r="D31" s="105">
        <f>'TOTAL STOCK'!D31-'CLOSING STOCK'!D31</f>
        <v>0</v>
      </c>
      <c r="E31" s="104">
        <f>'TOTAL STOCK'!E31-'CLOSING STOCK'!E31</f>
        <v>0</v>
      </c>
      <c r="F31" s="106">
        <f>'TOTAL STOCK'!F31-'CLOSING STOCK'!F31</f>
        <v>0</v>
      </c>
      <c r="G31" s="107">
        <f>'TOTAL STOCK'!G31-'CLOSING STOCK'!G31</f>
        <v>0</v>
      </c>
      <c r="H31" s="105">
        <f>'TOTAL STOCK'!H31-'CLOSING STOCK'!H31</f>
        <v>0</v>
      </c>
      <c r="I31" s="104">
        <f>'TOTAL STOCK'!I31-'CLOSING STOCK'!I31</f>
        <v>0</v>
      </c>
      <c r="J31" s="106">
        <f>'TOTAL STOCK'!J31-'CLOSING STOCK'!J31</f>
        <v>0</v>
      </c>
      <c r="K31" s="107">
        <f>'TOTAL STOCK'!K31-'CLOSING STOCK'!K31</f>
        <v>0</v>
      </c>
      <c r="L31" s="105">
        <f>'TOTAL STOCK'!L31-'CLOSING STOCK'!L31</f>
        <v>0</v>
      </c>
      <c r="M31" s="77">
        <f t="shared" si="0"/>
        <v>0</v>
      </c>
      <c r="N31" s="102">
        <v>2600</v>
      </c>
      <c r="O31" s="19">
        <v>1300</v>
      </c>
      <c r="P31" s="19">
        <v>750</v>
      </c>
      <c r="Q31" s="73"/>
      <c r="R31" s="4">
        <v>250</v>
      </c>
    </row>
    <row r="32" spans="1:18" ht="22.95" customHeight="1" x14ac:dyDescent="0.3">
      <c r="A32" s="3">
        <v>29</v>
      </c>
      <c r="B32" s="97" t="s">
        <v>138</v>
      </c>
      <c r="C32" s="104">
        <f>'TOTAL STOCK'!C32-'CLOSING STOCK'!C32</f>
        <v>0</v>
      </c>
      <c r="D32" s="105">
        <f>'TOTAL STOCK'!D32-'CLOSING STOCK'!D32</f>
        <v>0</v>
      </c>
      <c r="E32" s="104">
        <f>'TOTAL STOCK'!E32-'CLOSING STOCK'!E32</f>
        <v>0</v>
      </c>
      <c r="F32" s="106">
        <f>'TOTAL STOCK'!F32-'CLOSING STOCK'!F32</f>
        <v>0</v>
      </c>
      <c r="G32" s="107">
        <f>'TOTAL STOCK'!G32-'CLOSING STOCK'!G32</f>
        <v>0</v>
      </c>
      <c r="H32" s="105">
        <f>'TOTAL STOCK'!H32-'CLOSING STOCK'!H32</f>
        <v>0</v>
      </c>
      <c r="I32" s="104">
        <f>'TOTAL STOCK'!I32-'CLOSING STOCK'!I32</f>
        <v>0</v>
      </c>
      <c r="J32" s="106">
        <f>'TOTAL STOCK'!J32-'CLOSING STOCK'!J32</f>
        <v>0</v>
      </c>
      <c r="K32" s="107">
        <f>'TOTAL STOCK'!K32-'CLOSING STOCK'!K32</f>
        <v>0</v>
      </c>
      <c r="L32" s="105">
        <f>'TOTAL STOCK'!L32-'CLOSING STOCK'!L32</f>
        <v>0</v>
      </c>
      <c r="M32" s="77">
        <f t="shared" si="0"/>
        <v>0</v>
      </c>
      <c r="N32" s="102">
        <v>1920</v>
      </c>
      <c r="O32" s="19">
        <v>960</v>
      </c>
      <c r="P32" s="19">
        <v>480</v>
      </c>
      <c r="Q32" s="73">
        <v>240</v>
      </c>
      <c r="R32" s="4">
        <v>170</v>
      </c>
    </row>
    <row r="33" spans="1:18" ht="22.95" customHeight="1" x14ac:dyDescent="0.3">
      <c r="A33" s="3">
        <v>30</v>
      </c>
      <c r="B33" s="97">
        <v>0</v>
      </c>
      <c r="C33" s="104">
        <f>'TOTAL STOCK'!C33-'CLOSING STOCK'!C33</f>
        <v>0</v>
      </c>
      <c r="D33" s="105">
        <f>'TOTAL STOCK'!D33-'CLOSING STOCK'!D33</f>
        <v>0</v>
      </c>
      <c r="E33" s="104">
        <f>'TOTAL STOCK'!E33-'CLOSING STOCK'!E33</f>
        <v>0</v>
      </c>
      <c r="F33" s="106">
        <f>'TOTAL STOCK'!F33-'CLOSING STOCK'!F33</f>
        <v>0</v>
      </c>
      <c r="G33" s="107">
        <f>'TOTAL STOCK'!G33-'CLOSING STOCK'!G33</f>
        <v>0</v>
      </c>
      <c r="H33" s="105">
        <f>'TOTAL STOCK'!H33-'CLOSING STOCK'!H33</f>
        <v>0</v>
      </c>
      <c r="I33" s="104">
        <f>'TOTAL STOCK'!I33-'CLOSING STOCK'!I33</f>
        <v>0</v>
      </c>
      <c r="J33" s="106">
        <f>'TOTAL STOCK'!J33-'CLOSING STOCK'!J33</f>
        <v>0</v>
      </c>
      <c r="K33" s="107">
        <f>'TOTAL STOCK'!K33-'CLOSING STOCK'!K33</f>
        <v>0</v>
      </c>
      <c r="L33" s="105">
        <f>'TOTAL STOCK'!L33-'CLOSING STOCK'!L33</f>
        <v>0</v>
      </c>
      <c r="M33" s="77">
        <f t="shared" si="0"/>
        <v>0</v>
      </c>
      <c r="N33" s="102"/>
      <c r="O33" s="19"/>
      <c r="P33" s="19"/>
      <c r="Q33" s="73"/>
      <c r="R33" s="4"/>
    </row>
    <row r="34" spans="1:18" ht="22.95" customHeight="1" x14ac:dyDescent="0.3">
      <c r="A34" s="3">
        <v>31</v>
      </c>
      <c r="B34" s="97" t="s">
        <v>65</v>
      </c>
      <c r="C34" s="104">
        <f>'TOTAL STOCK'!C34-'CLOSING STOCK'!C34</f>
        <v>0</v>
      </c>
      <c r="D34" s="105">
        <f>'TOTAL STOCK'!D34-'CLOSING STOCK'!D34</f>
        <v>0</v>
      </c>
      <c r="E34" s="104">
        <f>'TOTAL STOCK'!E34-'CLOSING STOCK'!E34</f>
        <v>0</v>
      </c>
      <c r="F34" s="106">
        <f>'TOTAL STOCK'!F34-'CLOSING STOCK'!F34</f>
        <v>0</v>
      </c>
      <c r="G34" s="107">
        <f>'TOTAL STOCK'!G34-'CLOSING STOCK'!G34</f>
        <v>0</v>
      </c>
      <c r="H34" s="105">
        <f>'TOTAL STOCK'!H34-'CLOSING STOCK'!H34</f>
        <v>0</v>
      </c>
      <c r="I34" s="104">
        <f>'TOTAL STOCK'!I34-'CLOSING STOCK'!I34</f>
        <v>0</v>
      </c>
      <c r="J34" s="106">
        <f>'TOTAL STOCK'!J34-'CLOSING STOCK'!J34</f>
        <v>0</v>
      </c>
      <c r="K34" s="107">
        <f>'TOTAL STOCK'!K34-'CLOSING STOCK'!K34</f>
        <v>0</v>
      </c>
      <c r="L34" s="105">
        <f>'TOTAL STOCK'!L34-'CLOSING STOCK'!L34</f>
        <v>0</v>
      </c>
      <c r="M34" s="77">
        <f t="shared" si="0"/>
        <v>0</v>
      </c>
      <c r="N34" s="102">
        <v>2700</v>
      </c>
      <c r="O34" s="19">
        <v>1350</v>
      </c>
      <c r="P34" s="19">
        <v>670</v>
      </c>
      <c r="Q34" s="73">
        <v>340</v>
      </c>
      <c r="R34" s="4">
        <v>240</v>
      </c>
    </row>
    <row r="35" spans="1:18" ht="22.95" customHeight="1" x14ac:dyDescent="0.3">
      <c r="A35" s="3">
        <v>32</v>
      </c>
      <c r="B35" s="97" t="s">
        <v>48</v>
      </c>
      <c r="C35" s="104">
        <f>'TOTAL STOCK'!C35-'CLOSING STOCK'!C35</f>
        <v>0</v>
      </c>
      <c r="D35" s="105">
        <f>'TOTAL STOCK'!D35-'CLOSING STOCK'!D35</f>
        <v>0</v>
      </c>
      <c r="E35" s="104">
        <f>'TOTAL STOCK'!E35-'CLOSING STOCK'!E35</f>
        <v>0</v>
      </c>
      <c r="F35" s="106">
        <f>'TOTAL STOCK'!F35-'CLOSING STOCK'!F35</f>
        <v>2</v>
      </c>
      <c r="G35" s="107">
        <f>'TOTAL STOCK'!G35-'CLOSING STOCK'!G35</f>
        <v>1</v>
      </c>
      <c r="H35" s="105">
        <f>'TOTAL STOCK'!H35-'CLOSING STOCK'!H35</f>
        <v>0</v>
      </c>
      <c r="I35" s="104">
        <f>'TOTAL STOCK'!I35-'CLOSING STOCK'!I35</f>
        <v>0</v>
      </c>
      <c r="J35" s="106">
        <f>'TOTAL STOCK'!J35-'CLOSING STOCK'!J35</f>
        <v>0</v>
      </c>
      <c r="K35" s="107">
        <f>'TOTAL STOCK'!K35-'CLOSING STOCK'!K35</f>
        <v>0</v>
      </c>
      <c r="L35" s="105">
        <f>'TOTAL STOCK'!L35-'CLOSING STOCK'!L35</f>
        <v>0</v>
      </c>
      <c r="M35" s="77">
        <f t="shared" si="0"/>
        <v>14560</v>
      </c>
      <c r="N35" s="102">
        <v>1120</v>
      </c>
      <c r="O35" s="19">
        <v>560</v>
      </c>
      <c r="P35" s="19">
        <v>280</v>
      </c>
      <c r="Q35" s="73">
        <v>140</v>
      </c>
      <c r="R35" s="4"/>
    </row>
    <row r="36" spans="1:18" ht="22.95" customHeight="1" x14ac:dyDescent="0.3">
      <c r="A36" s="3">
        <v>33</v>
      </c>
      <c r="B36" s="97" t="s">
        <v>49</v>
      </c>
      <c r="C36" s="104">
        <f>'TOTAL STOCK'!C36-'CLOSING STOCK'!C36</f>
        <v>0</v>
      </c>
      <c r="D36" s="105">
        <f>'TOTAL STOCK'!D36-'CLOSING STOCK'!D36</f>
        <v>0</v>
      </c>
      <c r="E36" s="104">
        <f>'TOTAL STOCK'!E36-'CLOSING STOCK'!E36</f>
        <v>0</v>
      </c>
      <c r="F36" s="106">
        <f>'TOTAL STOCK'!F36-'CLOSING STOCK'!F36</f>
        <v>0</v>
      </c>
      <c r="G36" s="107">
        <f>'TOTAL STOCK'!G36-'CLOSING STOCK'!G36</f>
        <v>0</v>
      </c>
      <c r="H36" s="105">
        <f>'TOTAL STOCK'!H36-'CLOSING STOCK'!H36</f>
        <v>0</v>
      </c>
      <c r="I36" s="104">
        <f>'TOTAL STOCK'!I36-'CLOSING STOCK'!I36</f>
        <v>0</v>
      </c>
      <c r="J36" s="106">
        <f>'TOTAL STOCK'!J36-'CLOSING STOCK'!J36</f>
        <v>0</v>
      </c>
      <c r="K36" s="107">
        <f>'TOTAL STOCK'!K36-'CLOSING STOCK'!K36</f>
        <v>0</v>
      </c>
      <c r="L36" s="105">
        <f>'TOTAL STOCK'!L36-'CLOSING STOCK'!L36</f>
        <v>0</v>
      </c>
      <c r="M36" s="77">
        <f t="shared" si="0"/>
        <v>0</v>
      </c>
      <c r="N36" s="102">
        <v>880</v>
      </c>
      <c r="O36" s="19">
        <v>440</v>
      </c>
      <c r="P36" s="19">
        <v>170</v>
      </c>
      <c r="Q36" s="73">
        <v>90</v>
      </c>
      <c r="R36" s="4"/>
    </row>
    <row r="37" spans="1:18" ht="22.95" customHeight="1" x14ac:dyDescent="0.3">
      <c r="A37" s="3">
        <v>34</v>
      </c>
      <c r="B37" s="97" t="s">
        <v>50</v>
      </c>
      <c r="C37" s="104">
        <f>'TOTAL STOCK'!C37-'CLOSING STOCK'!C37</f>
        <v>0</v>
      </c>
      <c r="D37" s="105">
        <f>'TOTAL STOCK'!D37-'CLOSING STOCK'!D37</f>
        <v>1</v>
      </c>
      <c r="E37" s="104">
        <f>'TOTAL STOCK'!E37-'CLOSING STOCK'!E37</f>
        <v>0</v>
      </c>
      <c r="F37" s="106">
        <f>'TOTAL STOCK'!F37-'CLOSING STOCK'!F37</f>
        <v>1</v>
      </c>
      <c r="G37" s="107">
        <f>'TOTAL STOCK'!G37-'CLOSING STOCK'!G37</f>
        <v>3</v>
      </c>
      <c r="H37" s="105">
        <f>'TOTAL STOCK'!H37-'CLOSING STOCK'!H37</f>
        <v>29</v>
      </c>
      <c r="I37" s="104">
        <f>'TOTAL STOCK'!I37-'CLOSING STOCK'!I37</f>
        <v>1</v>
      </c>
      <c r="J37" s="106">
        <f>'TOTAL STOCK'!J37-'CLOSING STOCK'!J37</f>
        <v>8</v>
      </c>
      <c r="K37" s="107">
        <f>'TOTAL STOCK'!K37-'CLOSING STOCK'!K37</f>
        <v>0</v>
      </c>
      <c r="L37" s="105">
        <f>'TOTAL STOCK'!L37-'CLOSING STOCK'!L37</f>
        <v>0</v>
      </c>
      <c r="M37" s="77">
        <f t="shared" si="0"/>
        <v>40955</v>
      </c>
      <c r="N37" s="102">
        <v>880</v>
      </c>
      <c r="O37" s="19">
        <v>440</v>
      </c>
      <c r="P37" s="19">
        <v>175</v>
      </c>
      <c r="Q37" s="73">
        <v>90</v>
      </c>
      <c r="R37" s="4"/>
    </row>
    <row r="38" spans="1:18" ht="22.95" customHeight="1" x14ac:dyDescent="0.3">
      <c r="A38" s="3">
        <v>35</v>
      </c>
      <c r="B38" s="97" t="s">
        <v>135</v>
      </c>
      <c r="C38" s="104">
        <f>'TOTAL STOCK'!C38-'CLOSING STOCK'!C38</f>
        <v>0</v>
      </c>
      <c r="D38" s="105">
        <f>'TOTAL STOCK'!D38-'CLOSING STOCK'!D38</f>
        <v>0</v>
      </c>
      <c r="E38" s="104">
        <f>'TOTAL STOCK'!E38-'CLOSING STOCK'!E38</f>
        <v>0</v>
      </c>
      <c r="F38" s="106">
        <f>'TOTAL STOCK'!F38-'CLOSING STOCK'!F38</f>
        <v>0</v>
      </c>
      <c r="G38" s="107">
        <f>'TOTAL STOCK'!G38-'CLOSING STOCK'!G38</f>
        <v>1</v>
      </c>
      <c r="H38" s="105">
        <f>'TOTAL STOCK'!H38-'CLOSING STOCK'!H38</f>
        <v>8</v>
      </c>
      <c r="I38" s="104">
        <f>'TOTAL STOCK'!I38-'CLOSING STOCK'!I38</f>
        <v>1</v>
      </c>
      <c r="J38" s="106">
        <f>'TOTAL STOCK'!J38-'CLOSING STOCK'!J38</f>
        <v>-42</v>
      </c>
      <c r="K38" s="107">
        <f>'TOTAL STOCK'!K38-'CLOSING STOCK'!K38</f>
        <v>0</v>
      </c>
      <c r="L38" s="105">
        <f>'TOTAL STOCK'!L38-'CLOSING STOCK'!L38</f>
        <v>0</v>
      </c>
      <c r="M38" s="77">
        <f t="shared" si="0"/>
        <v>13270</v>
      </c>
      <c r="N38" s="102">
        <v>600</v>
      </c>
      <c r="O38" s="19">
        <v>300</v>
      </c>
      <c r="P38" s="19">
        <v>155</v>
      </c>
      <c r="Q38" s="73">
        <v>85</v>
      </c>
      <c r="R38" s="4"/>
    </row>
    <row r="39" spans="1:18" ht="22.95" customHeight="1" x14ac:dyDescent="0.3">
      <c r="A39" s="3">
        <v>36</v>
      </c>
      <c r="B39" s="97">
        <v>0</v>
      </c>
      <c r="C39" s="104">
        <f>'TOTAL STOCK'!C39-'CLOSING STOCK'!C39</f>
        <v>0</v>
      </c>
      <c r="D39" s="105">
        <f>'TOTAL STOCK'!D39-'CLOSING STOCK'!D39</f>
        <v>0</v>
      </c>
      <c r="E39" s="104">
        <f>'TOTAL STOCK'!E39-'CLOSING STOCK'!E39</f>
        <v>0</v>
      </c>
      <c r="F39" s="106">
        <f>'TOTAL STOCK'!F39-'CLOSING STOCK'!F39</f>
        <v>0</v>
      </c>
      <c r="G39" s="107">
        <f>'TOTAL STOCK'!G39-'CLOSING STOCK'!G39</f>
        <v>0</v>
      </c>
      <c r="H39" s="105">
        <f>'TOTAL STOCK'!H39-'CLOSING STOCK'!H39</f>
        <v>0</v>
      </c>
      <c r="I39" s="104">
        <f>'TOTAL STOCK'!I39-'CLOSING STOCK'!I39</f>
        <v>0</v>
      </c>
      <c r="J39" s="106">
        <f>'TOTAL STOCK'!J39-'CLOSING STOCK'!J39</f>
        <v>0</v>
      </c>
      <c r="K39" s="107">
        <f>'TOTAL STOCK'!K39-'CLOSING STOCK'!K39</f>
        <v>0</v>
      </c>
      <c r="L39" s="105">
        <f>'TOTAL STOCK'!L39-'CLOSING STOCK'!L39</f>
        <v>0</v>
      </c>
      <c r="M39" s="77">
        <f t="shared" si="0"/>
        <v>0</v>
      </c>
      <c r="N39" s="102"/>
      <c r="O39" s="19"/>
      <c r="P39" s="19"/>
      <c r="Q39" s="73"/>
      <c r="R39" s="4"/>
    </row>
    <row r="40" spans="1:18" ht="22.95" customHeight="1" x14ac:dyDescent="0.3">
      <c r="A40" s="3">
        <v>37</v>
      </c>
      <c r="B40" s="97" t="s">
        <v>128</v>
      </c>
      <c r="C40" s="104">
        <f>'TOTAL STOCK'!C40-'CLOSING STOCK'!C40</f>
        <v>0</v>
      </c>
      <c r="D40" s="105">
        <f>'TOTAL STOCK'!D40-'CLOSING STOCK'!D40</f>
        <v>0</v>
      </c>
      <c r="E40" s="104">
        <f>'TOTAL STOCK'!E40-'CLOSING STOCK'!E40</f>
        <v>0</v>
      </c>
      <c r="F40" s="106">
        <f>'TOTAL STOCK'!F40-'CLOSING STOCK'!F40</f>
        <v>0</v>
      </c>
      <c r="G40" s="107">
        <f>'TOTAL STOCK'!G40-'CLOSING STOCK'!G40</f>
        <v>1</v>
      </c>
      <c r="H40" s="105">
        <f>'TOTAL STOCK'!H40-'CLOSING STOCK'!H40</f>
        <v>10</v>
      </c>
      <c r="I40" s="104">
        <f>'TOTAL STOCK'!I40-'CLOSING STOCK'!I40</f>
        <v>0</v>
      </c>
      <c r="J40" s="106">
        <f>'TOTAL STOCK'!J40-'CLOSING STOCK'!J40</f>
        <v>26</v>
      </c>
      <c r="K40" s="107">
        <f>'TOTAL STOCK'!K40-'CLOSING STOCK'!K40</f>
        <v>0</v>
      </c>
      <c r="L40" s="105">
        <f>'TOTAL STOCK'!L40-'CLOSING STOCK'!L40</f>
        <v>0</v>
      </c>
      <c r="M40" s="77">
        <f t="shared" si="0"/>
        <v>9360</v>
      </c>
      <c r="N40" s="102">
        <v>400</v>
      </c>
      <c r="O40" s="19">
        <v>200</v>
      </c>
      <c r="P40" s="19">
        <v>130</v>
      </c>
      <c r="Q40" s="73">
        <v>70</v>
      </c>
      <c r="R40" s="4"/>
    </row>
    <row r="41" spans="1:18" ht="22.95" customHeight="1" x14ac:dyDescent="0.3">
      <c r="A41" s="3">
        <v>38</v>
      </c>
      <c r="B41" s="97" t="s">
        <v>66</v>
      </c>
      <c r="C41" s="104">
        <f>'TOTAL STOCK'!C41-'CLOSING STOCK'!C41</f>
        <v>0</v>
      </c>
      <c r="D41" s="105">
        <f>'TOTAL STOCK'!D41-'CLOSING STOCK'!D41</f>
        <v>0</v>
      </c>
      <c r="E41" s="104">
        <f>'TOTAL STOCK'!E41-'CLOSING STOCK'!E41</f>
        <v>0</v>
      </c>
      <c r="F41" s="106">
        <f>'TOTAL STOCK'!F41-'CLOSING STOCK'!F41</f>
        <v>0</v>
      </c>
      <c r="G41" s="107">
        <f>'TOTAL STOCK'!G41-'CLOSING STOCK'!G41</f>
        <v>0</v>
      </c>
      <c r="H41" s="105">
        <f>'TOTAL STOCK'!H41-'CLOSING STOCK'!H41</f>
        <v>5</v>
      </c>
      <c r="I41" s="104">
        <f>'TOTAL STOCK'!I41-'CLOSING STOCK'!I41</f>
        <v>0</v>
      </c>
      <c r="J41" s="106">
        <f>'TOTAL STOCK'!J41-'CLOSING STOCK'!J41</f>
        <v>0</v>
      </c>
      <c r="K41" s="107">
        <f>'TOTAL STOCK'!K41-'CLOSING STOCK'!K41</f>
        <v>0</v>
      </c>
      <c r="L41" s="105">
        <f>'TOTAL STOCK'!L41-'CLOSING STOCK'!L41</f>
        <v>3</v>
      </c>
      <c r="M41" s="77">
        <f t="shared" si="0"/>
        <v>2880</v>
      </c>
      <c r="N41" s="102">
        <v>1920</v>
      </c>
      <c r="O41" s="19">
        <v>960</v>
      </c>
      <c r="P41" s="19">
        <v>480</v>
      </c>
      <c r="Q41" s="73">
        <v>240</v>
      </c>
      <c r="R41" s="4">
        <v>160</v>
      </c>
    </row>
    <row r="42" spans="1:18" ht="22.95" customHeight="1" x14ac:dyDescent="0.3">
      <c r="A42" s="3">
        <v>39</v>
      </c>
      <c r="B42" s="97" t="s">
        <v>51</v>
      </c>
      <c r="C42" s="104">
        <f>'TOTAL STOCK'!C42-'CLOSING STOCK'!C42</f>
        <v>0</v>
      </c>
      <c r="D42" s="105">
        <f>'TOTAL STOCK'!D42-'CLOSING STOCK'!D42</f>
        <v>0</v>
      </c>
      <c r="E42" s="104">
        <f>'TOTAL STOCK'!E42-'CLOSING STOCK'!E42</f>
        <v>0</v>
      </c>
      <c r="F42" s="106">
        <f>'TOTAL STOCK'!F42-'CLOSING STOCK'!F42</f>
        <v>0</v>
      </c>
      <c r="G42" s="107">
        <f>'TOTAL STOCK'!G42-'CLOSING STOCK'!G42</f>
        <v>0</v>
      </c>
      <c r="H42" s="105">
        <f>'TOTAL STOCK'!H42-'CLOSING STOCK'!H42</f>
        <v>1</v>
      </c>
      <c r="I42" s="104">
        <f>'TOTAL STOCK'!I42-'CLOSING STOCK'!I42</f>
        <v>0</v>
      </c>
      <c r="J42" s="106">
        <f>'TOTAL STOCK'!J42-'CLOSING STOCK'!J42</f>
        <v>0</v>
      </c>
      <c r="K42" s="107">
        <f>'TOTAL STOCK'!K42-'CLOSING STOCK'!K42</f>
        <v>0</v>
      </c>
      <c r="L42" s="105">
        <f>'TOTAL STOCK'!L42-'CLOSING STOCK'!L42</f>
        <v>0</v>
      </c>
      <c r="M42" s="77">
        <f t="shared" si="0"/>
        <v>95</v>
      </c>
      <c r="N42" s="102">
        <v>300</v>
      </c>
      <c r="O42" s="19">
        <v>150</v>
      </c>
      <c r="P42" s="19">
        <v>95</v>
      </c>
      <c r="Q42" s="73">
        <v>50</v>
      </c>
      <c r="R42" s="4"/>
    </row>
    <row r="43" spans="1:18" ht="22.95" customHeight="1" x14ac:dyDescent="0.3">
      <c r="A43" s="3">
        <v>40</v>
      </c>
      <c r="B43" s="97" t="s">
        <v>52</v>
      </c>
      <c r="C43" s="104">
        <f>'TOTAL STOCK'!C43-'CLOSING STOCK'!C43</f>
        <v>0</v>
      </c>
      <c r="D43" s="105">
        <f>'TOTAL STOCK'!D43-'CLOSING STOCK'!D43</f>
        <v>0</v>
      </c>
      <c r="E43" s="104">
        <f>'TOTAL STOCK'!E43-'CLOSING STOCK'!E43</f>
        <v>0</v>
      </c>
      <c r="F43" s="106">
        <f>'TOTAL STOCK'!F43-'CLOSING STOCK'!F43</f>
        <v>0</v>
      </c>
      <c r="G43" s="107">
        <f>'TOTAL STOCK'!G43-'CLOSING STOCK'!G43</f>
        <v>0</v>
      </c>
      <c r="H43" s="105">
        <f>'TOTAL STOCK'!H43-'CLOSING STOCK'!H43</f>
        <v>4</v>
      </c>
      <c r="I43" s="104">
        <f>'TOTAL STOCK'!I43-'CLOSING STOCK'!I43</f>
        <v>1</v>
      </c>
      <c r="J43" s="106">
        <f>'TOTAL STOCK'!J43-'CLOSING STOCK'!J43</f>
        <v>-23</v>
      </c>
      <c r="K43" s="107">
        <f>'TOTAL STOCK'!K43-'CLOSING STOCK'!K43</f>
        <v>0</v>
      </c>
      <c r="L43" s="105">
        <f>'TOTAL STOCK'!L43-'CLOSING STOCK'!L43</f>
        <v>0</v>
      </c>
      <c r="M43" s="77">
        <f t="shared" si="0"/>
        <v>4050</v>
      </c>
      <c r="N43" s="102">
        <v>300</v>
      </c>
      <c r="O43" s="19">
        <v>150</v>
      </c>
      <c r="P43" s="19">
        <v>100</v>
      </c>
      <c r="Q43" s="73">
        <v>50</v>
      </c>
      <c r="R43" s="4"/>
    </row>
    <row r="44" spans="1:18" ht="22.95" customHeight="1" x14ac:dyDescent="0.3">
      <c r="A44" s="43">
        <v>41</v>
      </c>
      <c r="B44" s="97" t="s">
        <v>53</v>
      </c>
      <c r="C44" s="104">
        <f>'TOTAL STOCK'!C44-'CLOSING STOCK'!C44</f>
        <v>0</v>
      </c>
      <c r="D44" s="105">
        <f>'TOTAL STOCK'!D44-'CLOSING STOCK'!D44</f>
        <v>0</v>
      </c>
      <c r="E44" s="104">
        <f>'TOTAL STOCK'!E44-'CLOSING STOCK'!E44</f>
        <v>0</v>
      </c>
      <c r="F44" s="106">
        <f>'TOTAL STOCK'!F44-'CLOSING STOCK'!F44</f>
        <v>0</v>
      </c>
      <c r="G44" s="107">
        <f>'TOTAL STOCK'!G44-'CLOSING STOCK'!G44</f>
        <v>2</v>
      </c>
      <c r="H44" s="105">
        <f>'TOTAL STOCK'!H44-'CLOSING STOCK'!H44</f>
        <v>-10</v>
      </c>
      <c r="I44" s="104">
        <f>'TOTAL STOCK'!I44-'CLOSING STOCK'!I44</f>
        <v>1</v>
      </c>
      <c r="J44" s="106">
        <f>'TOTAL STOCK'!J44-'CLOSING STOCK'!J44</f>
        <v>-13</v>
      </c>
      <c r="K44" s="107">
        <f>'TOTAL STOCK'!K44-'CLOSING STOCK'!K44</f>
        <v>0</v>
      </c>
      <c r="L44" s="105">
        <f>'TOTAL STOCK'!L44-'CLOSING STOCK'!L44</f>
        <v>0</v>
      </c>
      <c r="M44" s="77">
        <f t="shared" si="0"/>
        <v>14025</v>
      </c>
      <c r="N44" s="102">
        <v>360</v>
      </c>
      <c r="O44" s="19">
        <v>180</v>
      </c>
      <c r="P44" s="19">
        <v>110</v>
      </c>
      <c r="Q44" s="73">
        <v>55</v>
      </c>
      <c r="R44" s="4"/>
    </row>
    <row r="45" spans="1:18" ht="22.95" customHeight="1" x14ac:dyDescent="0.3">
      <c r="A45" s="3">
        <v>42</v>
      </c>
      <c r="B45" s="68" t="s">
        <v>67</v>
      </c>
      <c r="C45" s="104">
        <f>'TOTAL STOCK'!C45-'CLOSING STOCK'!C45</f>
        <v>0</v>
      </c>
      <c r="D45" s="105">
        <f>'TOTAL STOCK'!D45-'CLOSING STOCK'!D45</f>
        <v>0</v>
      </c>
      <c r="E45" s="104">
        <f>'TOTAL STOCK'!E45-'CLOSING STOCK'!E45</f>
        <v>0</v>
      </c>
      <c r="F45" s="106">
        <f>'TOTAL STOCK'!F45-'CLOSING STOCK'!F45</f>
        <v>0</v>
      </c>
      <c r="G45" s="107">
        <f>'TOTAL STOCK'!G45-'CLOSING STOCK'!G45</f>
        <v>0</v>
      </c>
      <c r="H45" s="105">
        <f>'TOTAL STOCK'!H45-'CLOSING STOCK'!H45</f>
        <v>9</v>
      </c>
      <c r="I45" s="104">
        <f>'TOTAL STOCK'!I45-'CLOSING STOCK'!I45</f>
        <v>0</v>
      </c>
      <c r="J45" s="106">
        <f>'TOTAL STOCK'!J45-'CLOSING STOCK'!J45</f>
        <v>0</v>
      </c>
      <c r="K45" s="107">
        <f>'TOTAL STOCK'!K45-'CLOSING STOCK'!K45</f>
        <v>0</v>
      </c>
      <c r="L45" s="105">
        <f>'TOTAL STOCK'!L45-'CLOSING STOCK'!L45</f>
        <v>5</v>
      </c>
      <c r="M45" s="77">
        <f t="shared" si="0"/>
        <v>7370</v>
      </c>
      <c r="N45" s="102">
        <v>2700</v>
      </c>
      <c r="O45" s="19">
        <v>1350</v>
      </c>
      <c r="P45" s="19">
        <v>680</v>
      </c>
      <c r="Q45" s="73"/>
      <c r="R45" s="4">
        <v>250</v>
      </c>
    </row>
    <row r="46" spans="1:18" ht="22.95" customHeight="1" x14ac:dyDescent="0.3">
      <c r="A46" s="43">
        <v>43</v>
      </c>
      <c r="B46" s="68" t="s">
        <v>121</v>
      </c>
      <c r="C46" s="104">
        <f>'TOTAL STOCK'!C46-'CLOSING STOCK'!C46</f>
        <v>0</v>
      </c>
      <c r="D46" s="105">
        <f>'TOTAL STOCK'!D46-'CLOSING STOCK'!D46</f>
        <v>3</v>
      </c>
      <c r="E46" s="104">
        <f>'TOTAL STOCK'!E46-'CLOSING STOCK'!E46</f>
        <v>0</v>
      </c>
      <c r="F46" s="106">
        <f>'TOTAL STOCK'!F46-'CLOSING STOCK'!F46</f>
        <v>0</v>
      </c>
      <c r="G46" s="107">
        <f>'TOTAL STOCK'!G46-'CLOSING STOCK'!G46</f>
        <v>0</v>
      </c>
      <c r="H46" s="105">
        <f>'TOTAL STOCK'!H46-'CLOSING STOCK'!H46</f>
        <v>1</v>
      </c>
      <c r="I46" s="104">
        <f>'TOTAL STOCK'!I46-'CLOSING STOCK'!I46</f>
        <v>0</v>
      </c>
      <c r="J46" s="106">
        <f>'TOTAL STOCK'!J46-'CLOSING STOCK'!J46</f>
        <v>0</v>
      </c>
      <c r="K46" s="107">
        <f>'TOTAL STOCK'!K46-'CLOSING STOCK'!K46</f>
        <v>0</v>
      </c>
      <c r="L46" s="105">
        <f>'TOTAL STOCK'!L46-'CLOSING STOCK'!L46</f>
        <v>0</v>
      </c>
      <c r="M46" s="77">
        <f t="shared" si="0"/>
        <v>5200</v>
      </c>
      <c r="N46" s="102">
        <v>1600</v>
      </c>
      <c r="O46" s="19">
        <v>800</v>
      </c>
      <c r="P46" s="19">
        <v>400</v>
      </c>
      <c r="Q46" s="73">
        <v>250</v>
      </c>
      <c r="R46" s="4">
        <v>140</v>
      </c>
    </row>
    <row r="47" spans="1:18" ht="22.95" customHeight="1" x14ac:dyDescent="0.3">
      <c r="A47" s="3">
        <v>44</v>
      </c>
      <c r="B47" s="68" t="s">
        <v>145</v>
      </c>
      <c r="C47" s="104">
        <f>'TOTAL STOCK'!C47-'CLOSING STOCK'!C47</f>
        <v>0</v>
      </c>
      <c r="D47" s="105">
        <f>'TOTAL STOCK'!D47-'CLOSING STOCK'!D47</f>
        <v>0</v>
      </c>
      <c r="E47" s="104">
        <f>'TOTAL STOCK'!E47-'CLOSING STOCK'!E47</f>
        <v>0</v>
      </c>
      <c r="F47" s="106">
        <f>'TOTAL STOCK'!F47-'CLOSING STOCK'!F47</f>
        <v>0</v>
      </c>
      <c r="G47" s="107">
        <f>'TOTAL STOCK'!G47-'CLOSING STOCK'!G47</f>
        <v>0</v>
      </c>
      <c r="H47" s="105">
        <f>'TOTAL STOCK'!H47-'CLOSING STOCK'!H47</f>
        <v>2</v>
      </c>
      <c r="I47" s="104">
        <f>'TOTAL STOCK'!I47-'CLOSING STOCK'!I47</f>
        <v>0</v>
      </c>
      <c r="J47" s="106">
        <f>'TOTAL STOCK'!J47-'CLOSING STOCK'!J47</f>
        <v>13</v>
      </c>
      <c r="K47" s="107">
        <f>'TOTAL STOCK'!K47-'CLOSING STOCK'!K47</f>
        <v>0</v>
      </c>
      <c r="L47" s="105">
        <f>'TOTAL STOCK'!L47-'CLOSING STOCK'!L47</f>
        <v>0</v>
      </c>
      <c r="M47" s="77">
        <f t="shared" si="0"/>
        <v>2000</v>
      </c>
      <c r="N47" s="102">
        <v>880</v>
      </c>
      <c r="O47" s="19">
        <v>440</v>
      </c>
      <c r="P47" s="19">
        <v>220</v>
      </c>
      <c r="Q47" s="73">
        <v>120</v>
      </c>
      <c r="R47" s="4">
        <v>60</v>
      </c>
    </row>
    <row r="48" spans="1:18" ht="22.95" customHeight="1" x14ac:dyDescent="0.3">
      <c r="A48" s="43">
        <v>45</v>
      </c>
      <c r="B48" s="68" t="s">
        <v>141</v>
      </c>
      <c r="C48" s="104">
        <f>'TOTAL STOCK'!C48-'CLOSING STOCK'!C48</f>
        <v>0</v>
      </c>
      <c r="D48" s="105">
        <f>'TOTAL STOCK'!D48-'CLOSING STOCK'!D48</f>
        <v>0</v>
      </c>
      <c r="E48" s="104">
        <f>'TOTAL STOCK'!E48-'CLOSING STOCK'!E48</f>
        <v>0</v>
      </c>
      <c r="F48" s="106">
        <f>'TOTAL STOCK'!F48-'CLOSING STOCK'!F48</f>
        <v>0</v>
      </c>
      <c r="G48" s="107">
        <f>'TOTAL STOCK'!G48-'CLOSING STOCK'!G48</f>
        <v>0</v>
      </c>
      <c r="H48" s="105">
        <f>'TOTAL STOCK'!H48-'CLOSING STOCK'!H48</f>
        <v>0</v>
      </c>
      <c r="I48" s="104">
        <f>'TOTAL STOCK'!I48-'CLOSING STOCK'!I48</f>
        <v>0</v>
      </c>
      <c r="J48" s="106">
        <f>'TOTAL STOCK'!J48-'CLOSING STOCK'!J48</f>
        <v>4</v>
      </c>
      <c r="K48" s="107">
        <f>'TOTAL STOCK'!K48-'CLOSING STOCK'!K48</f>
        <v>0</v>
      </c>
      <c r="L48" s="105">
        <f>'TOTAL STOCK'!L48-'CLOSING STOCK'!L48</f>
        <v>0</v>
      </c>
      <c r="M48" s="77">
        <f t="shared" si="0"/>
        <v>280</v>
      </c>
      <c r="N48" s="102">
        <v>520</v>
      </c>
      <c r="O48" s="19">
        <v>260</v>
      </c>
      <c r="P48" s="19">
        <v>130</v>
      </c>
      <c r="Q48" s="73">
        <v>70</v>
      </c>
      <c r="R48" s="4"/>
    </row>
    <row r="49" spans="1:18" ht="22.95" customHeight="1" x14ac:dyDescent="0.3">
      <c r="A49" s="3">
        <v>46</v>
      </c>
      <c r="B49" s="68" t="s">
        <v>129</v>
      </c>
      <c r="C49" s="104">
        <f>'TOTAL STOCK'!C49-'CLOSING STOCK'!C49</f>
        <v>0</v>
      </c>
      <c r="D49" s="105">
        <f>'TOTAL STOCK'!D49-'CLOSING STOCK'!D49</f>
        <v>0</v>
      </c>
      <c r="E49" s="104">
        <f>'TOTAL STOCK'!E49-'CLOSING STOCK'!E49</f>
        <v>0</v>
      </c>
      <c r="F49" s="106">
        <f>'TOTAL STOCK'!F49-'CLOSING STOCK'!F49</f>
        <v>0</v>
      </c>
      <c r="G49" s="107">
        <f>'TOTAL STOCK'!G49-'CLOSING STOCK'!G49</f>
        <v>0</v>
      </c>
      <c r="H49" s="105">
        <f>'TOTAL STOCK'!H49-'CLOSING STOCK'!H49</f>
        <v>0</v>
      </c>
      <c r="I49" s="104">
        <f>'TOTAL STOCK'!I49-'CLOSING STOCK'!I49</f>
        <v>0</v>
      </c>
      <c r="J49" s="106">
        <f>'TOTAL STOCK'!J49-'CLOSING STOCK'!J49</f>
        <v>0</v>
      </c>
      <c r="K49" s="107">
        <f>'TOTAL STOCK'!K49-'CLOSING STOCK'!K49</f>
        <v>0</v>
      </c>
      <c r="L49" s="105">
        <f>'TOTAL STOCK'!L49-'CLOSING STOCK'!L49</f>
        <v>0</v>
      </c>
      <c r="M49" s="77">
        <f t="shared" si="0"/>
        <v>0</v>
      </c>
      <c r="N49" s="102">
        <v>2000</v>
      </c>
      <c r="O49" s="19">
        <v>1000</v>
      </c>
      <c r="P49" s="19">
        <v>500</v>
      </c>
      <c r="Q49" s="73">
        <v>270</v>
      </c>
      <c r="R49" s="4"/>
    </row>
    <row r="50" spans="1:18" ht="22.95" customHeight="1" thickBot="1" x14ac:dyDescent="0.35">
      <c r="A50" s="41">
        <v>47</v>
      </c>
      <c r="B50" s="99">
        <v>0</v>
      </c>
      <c r="C50" s="108">
        <f>'TOTAL STOCK'!C50-'CLOSING STOCK'!C50</f>
        <v>0</v>
      </c>
      <c r="D50" s="109">
        <f>'TOTAL STOCK'!D50-'CLOSING STOCK'!D50</f>
        <v>0</v>
      </c>
      <c r="E50" s="108">
        <f>'TOTAL STOCK'!E50-'CLOSING STOCK'!E50</f>
        <v>0</v>
      </c>
      <c r="F50" s="110">
        <f>'TOTAL STOCK'!F50-'CLOSING STOCK'!F50</f>
        <v>0</v>
      </c>
      <c r="G50" s="107">
        <f>'TOTAL STOCK'!G50-'CLOSING STOCK'!G50</f>
        <v>0</v>
      </c>
      <c r="H50" s="105">
        <f>'TOTAL STOCK'!H50-'CLOSING STOCK'!H50</f>
        <v>0</v>
      </c>
      <c r="I50" s="108">
        <f>'TOTAL STOCK'!I50-'CLOSING STOCK'!I50</f>
        <v>0</v>
      </c>
      <c r="J50" s="110">
        <f>'TOTAL STOCK'!J50-'CLOSING STOCK'!J50</f>
        <v>0</v>
      </c>
      <c r="K50" s="107">
        <f>'TOTAL STOCK'!K50-'CLOSING STOCK'!K50</f>
        <v>0</v>
      </c>
      <c r="L50" s="105">
        <f>'TOTAL STOCK'!L50-'CLOSING STOCK'!L50</f>
        <v>0</v>
      </c>
      <c r="M50" s="77">
        <f t="shared" si="0"/>
        <v>0</v>
      </c>
      <c r="N50" s="103"/>
      <c r="O50" s="71"/>
      <c r="P50" s="71"/>
      <c r="Q50" s="76"/>
      <c r="R50" s="50"/>
    </row>
    <row r="51" spans="1:18" ht="22.95" customHeight="1" thickBot="1" x14ac:dyDescent="0.35">
      <c r="A51" s="228" t="s">
        <v>115</v>
      </c>
      <c r="B51" s="229"/>
      <c r="C51" s="232" t="s">
        <v>114</v>
      </c>
      <c r="D51" s="233"/>
      <c r="E51" s="233"/>
      <c r="F51" s="233"/>
      <c r="G51" s="233"/>
      <c r="H51" s="233"/>
      <c r="I51" s="233"/>
      <c r="J51" s="233"/>
      <c r="K51" s="233"/>
      <c r="L51" s="234"/>
      <c r="M51" s="77"/>
      <c r="N51" s="213" t="s">
        <v>116</v>
      </c>
      <c r="O51" s="214"/>
      <c r="P51" s="214"/>
      <c r="Q51" s="214"/>
      <c r="R51" s="215"/>
    </row>
    <row r="52" spans="1:18" ht="22.95" customHeight="1" x14ac:dyDescent="0.3">
      <c r="A52" s="230"/>
      <c r="B52" s="231"/>
      <c r="C52" s="235" t="s">
        <v>4</v>
      </c>
      <c r="D52" s="236"/>
      <c r="E52" s="235" t="s">
        <v>5</v>
      </c>
      <c r="F52" s="237"/>
      <c r="G52" s="238" t="s">
        <v>6</v>
      </c>
      <c r="H52" s="236"/>
      <c r="I52" s="239" t="s">
        <v>7</v>
      </c>
      <c r="J52" s="240"/>
      <c r="K52" s="241" t="s">
        <v>8</v>
      </c>
      <c r="L52" s="242"/>
      <c r="M52" s="20"/>
      <c r="N52" s="177" t="s">
        <v>4</v>
      </c>
      <c r="O52" s="178" t="s">
        <v>5</v>
      </c>
      <c r="P52" s="178" t="s">
        <v>6</v>
      </c>
      <c r="Q52" s="179" t="s">
        <v>7</v>
      </c>
      <c r="R52" s="180" t="s">
        <v>8</v>
      </c>
    </row>
    <row r="53" spans="1:18" ht="22.95" customHeight="1" x14ac:dyDescent="0.3">
      <c r="A53" s="169" t="s">
        <v>9</v>
      </c>
      <c r="B53" s="170" t="s">
        <v>13</v>
      </c>
      <c r="C53" s="161" t="s">
        <v>2</v>
      </c>
      <c r="D53" s="164" t="s">
        <v>3</v>
      </c>
      <c r="E53" s="161" t="s">
        <v>10</v>
      </c>
      <c r="F53" s="162" t="s">
        <v>3</v>
      </c>
      <c r="G53" s="163" t="s">
        <v>11</v>
      </c>
      <c r="H53" s="164" t="s">
        <v>3</v>
      </c>
      <c r="I53" s="167" t="s">
        <v>12</v>
      </c>
      <c r="J53" s="168" t="s">
        <v>3</v>
      </c>
      <c r="K53" s="165" t="s">
        <v>77</v>
      </c>
      <c r="L53" s="166" t="s">
        <v>3</v>
      </c>
      <c r="M53" s="21"/>
      <c r="N53" s="181" t="s">
        <v>94</v>
      </c>
      <c r="O53" s="182" t="s">
        <v>94</v>
      </c>
      <c r="P53" s="182" t="s">
        <v>94</v>
      </c>
      <c r="Q53" s="182" t="s">
        <v>94</v>
      </c>
      <c r="R53" s="183" t="s">
        <v>94</v>
      </c>
    </row>
    <row r="54" spans="1:18" ht="22.95" customHeight="1" x14ac:dyDescent="0.3">
      <c r="A54" s="3">
        <v>1</v>
      </c>
      <c r="B54" s="97" t="s">
        <v>146</v>
      </c>
      <c r="C54" s="104">
        <f>'TOTAL STOCK'!C54-'CLOSING STOCK'!C54</f>
        <v>0</v>
      </c>
      <c r="D54" s="105">
        <f>'TOTAL STOCK'!D54-'CLOSING STOCK'!D54</f>
        <v>0</v>
      </c>
      <c r="E54" s="104">
        <f>'TOTAL STOCK'!E54-'CLOSING STOCK'!E54</f>
        <v>0</v>
      </c>
      <c r="F54" s="106">
        <f>'TOTAL STOCK'!F54-'CLOSING STOCK'!F54</f>
        <v>0</v>
      </c>
      <c r="G54" s="107">
        <f>'TOTAL STOCK'!G54-'CLOSING STOCK'!G54</f>
        <v>1</v>
      </c>
      <c r="H54" s="105">
        <f>'TOTAL STOCK'!H54-'CLOSING STOCK'!H54</f>
        <v>-30</v>
      </c>
      <c r="I54" s="104">
        <f>'TOTAL STOCK'!I54-'CLOSING STOCK'!I54</f>
        <v>0</v>
      </c>
      <c r="J54" s="106">
        <f>'TOTAL STOCK'!J54-'CLOSING STOCK'!J54</f>
        <v>77</v>
      </c>
      <c r="K54" s="107">
        <f>'TOTAL STOCK'!K54-'CLOSING STOCK'!K54</f>
        <v>0</v>
      </c>
      <c r="L54" s="105">
        <f>'TOTAL STOCK'!L54-'CLOSING STOCK'!L54</f>
        <v>0</v>
      </c>
      <c r="M54" s="77">
        <f t="shared" ref="M54:M71" si="1">(C54*12*N54)+(D54*N54)+(E54*24*O54)+(F54*O54)+(G54*48*P54)+(H54*P54)+(I54*96*Q54)+(J54*Q54)+(K54*25*R54)+(L54*R54)</f>
        <v>6600</v>
      </c>
      <c r="N54" s="102">
        <v>340</v>
      </c>
      <c r="O54" s="19">
        <v>170</v>
      </c>
      <c r="P54" s="19">
        <v>110</v>
      </c>
      <c r="Q54" s="73">
        <v>60</v>
      </c>
      <c r="R54" s="4"/>
    </row>
    <row r="55" spans="1:18" ht="22.95" customHeight="1" x14ac:dyDescent="0.3">
      <c r="A55" s="3">
        <v>2</v>
      </c>
      <c r="B55" s="97" t="s">
        <v>54</v>
      </c>
      <c r="C55" s="104">
        <f>'TOTAL STOCK'!C55-'CLOSING STOCK'!C55</f>
        <v>0</v>
      </c>
      <c r="D55" s="105">
        <f>'TOTAL STOCK'!D55-'CLOSING STOCK'!D55</f>
        <v>0</v>
      </c>
      <c r="E55" s="104">
        <f>'TOTAL STOCK'!E55-'CLOSING STOCK'!E55</f>
        <v>0</v>
      </c>
      <c r="F55" s="106">
        <f>'TOTAL STOCK'!F55-'CLOSING STOCK'!F55</f>
        <v>0</v>
      </c>
      <c r="G55" s="107">
        <f>'TOTAL STOCK'!G55-'CLOSING STOCK'!G55</f>
        <v>0</v>
      </c>
      <c r="H55" s="105">
        <f>'TOTAL STOCK'!H55-'CLOSING STOCK'!H55</f>
        <v>7</v>
      </c>
      <c r="I55" s="104">
        <f>'TOTAL STOCK'!I55-'CLOSING STOCK'!I55</f>
        <v>0</v>
      </c>
      <c r="J55" s="106">
        <f>'TOTAL STOCK'!J55-'CLOSING STOCK'!J55</f>
        <v>0</v>
      </c>
      <c r="K55" s="107">
        <f>'TOTAL STOCK'!K55-'CLOSING STOCK'!K55</f>
        <v>0</v>
      </c>
      <c r="L55" s="105">
        <f>'TOTAL STOCK'!L55-'CLOSING STOCK'!L55</f>
        <v>0</v>
      </c>
      <c r="M55" s="77">
        <f t="shared" si="1"/>
        <v>3570</v>
      </c>
      <c r="N55" s="102">
        <v>2000</v>
      </c>
      <c r="O55" s="19">
        <v>1000</v>
      </c>
      <c r="P55" s="19">
        <v>510</v>
      </c>
      <c r="Q55" s="73">
        <v>260</v>
      </c>
      <c r="R55" s="4">
        <v>180</v>
      </c>
    </row>
    <row r="56" spans="1:18" ht="22.95" customHeight="1" x14ac:dyDescent="0.3">
      <c r="A56" s="3">
        <v>3</v>
      </c>
      <c r="B56" s="97" t="s">
        <v>149</v>
      </c>
      <c r="C56" s="104">
        <f>'TOTAL STOCK'!C56-'CLOSING STOCK'!C56</f>
        <v>0</v>
      </c>
      <c r="D56" s="105">
        <f>'TOTAL STOCK'!D56-'CLOSING STOCK'!D56</f>
        <v>0</v>
      </c>
      <c r="E56" s="104">
        <f>'TOTAL STOCK'!E56-'CLOSING STOCK'!E56</f>
        <v>0</v>
      </c>
      <c r="F56" s="106">
        <f>'TOTAL STOCK'!F56-'CLOSING STOCK'!F56</f>
        <v>0</v>
      </c>
      <c r="G56" s="107">
        <f>'TOTAL STOCK'!G56-'CLOSING STOCK'!G56</f>
        <v>0</v>
      </c>
      <c r="H56" s="105">
        <f>'TOTAL STOCK'!H56-'CLOSING STOCK'!H56</f>
        <v>0</v>
      </c>
      <c r="I56" s="104">
        <f>'TOTAL STOCK'!I56-'CLOSING STOCK'!I56</f>
        <v>0</v>
      </c>
      <c r="J56" s="106">
        <f>'TOTAL STOCK'!J56-'CLOSING STOCK'!J56</f>
        <v>0</v>
      </c>
      <c r="K56" s="107">
        <f>'TOTAL STOCK'!K56-'CLOSING STOCK'!K56</f>
        <v>0</v>
      </c>
      <c r="L56" s="105">
        <f>'TOTAL STOCK'!L56-'CLOSING STOCK'!L56</f>
        <v>0</v>
      </c>
      <c r="M56" s="77">
        <f t="shared" si="1"/>
        <v>0</v>
      </c>
      <c r="N56" s="102">
        <v>920</v>
      </c>
      <c r="O56" s="19">
        <v>460</v>
      </c>
      <c r="P56" s="19">
        <v>230</v>
      </c>
      <c r="Q56" s="73">
        <v>130</v>
      </c>
      <c r="R56" s="4"/>
    </row>
    <row r="57" spans="1:18" ht="22.95" customHeight="1" x14ac:dyDescent="0.3">
      <c r="A57" s="3">
        <v>4</v>
      </c>
      <c r="B57" s="97" t="s">
        <v>150</v>
      </c>
      <c r="C57" s="104">
        <f>'TOTAL STOCK'!C57-'CLOSING STOCK'!C57</f>
        <v>0</v>
      </c>
      <c r="D57" s="105">
        <f>'TOTAL STOCK'!D57-'CLOSING STOCK'!D57</f>
        <v>0</v>
      </c>
      <c r="E57" s="104">
        <f>'TOTAL STOCK'!E57-'CLOSING STOCK'!E57</f>
        <v>0</v>
      </c>
      <c r="F57" s="106">
        <f>'TOTAL STOCK'!F57-'CLOSING STOCK'!F57</f>
        <v>0</v>
      </c>
      <c r="G57" s="107">
        <f>'TOTAL STOCK'!G57-'CLOSING STOCK'!G57</f>
        <v>2</v>
      </c>
      <c r="H57" s="105">
        <f>'TOTAL STOCK'!H57-'CLOSING STOCK'!H57</f>
        <v>34</v>
      </c>
      <c r="I57" s="104">
        <f>'TOTAL STOCK'!I57-'CLOSING STOCK'!I57</f>
        <v>1</v>
      </c>
      <c r="J57" s="106">
        <f>'TOTAL STOCK'!J57-'CLOSING STOCK'!J57</f>
        <v>-10</v>
      </c>
      <c r="K57" s="107">
        <f>'TOTAL STOCK'!K57-'CLOSING STOCK'!K57</f>
        <v>0</v>
      </c>
      <c r="L57" s="105">
        <f>'TOTAL STOCK'!L57-'CLOSING STOCK'!L57</f>
        <v>0</v>
      </c>
      <c r="M57" s="77">
        <f t="shared" si="1"/>
        <v>37620</v>
      </c>
      <c r="N57" s="102">
        <v>960</v>
      </c>
      <c r="O57" s="19">
        <v>480</v>
      </c>
      <c r="P57" s="19">
        <v>210</v>
      </c>
      <c r="Q57" s="73">
        <v>120</v>
      </c>
      <c r="R57" s="4"/>
    </row>
    <row r="58" spans="1:18" ht="22.95" customHeight="1" x14ac:dyDescent="0.3">
      <c r="A58" s="3">
        <v>5</v>
      </c>
      <c r="B58" s="97" t="s">
        <v>151</v>
      </c>
      <c r="C58" s="104">
        <f>'TOTAL STOCK'!C58-'CLOSING STOCK'!C58</f>
        <v>0</v>
      </c>
      <c r="D58" s="105">
        <f>'TOTAL STOCK'!D58-'CLOSING STOCK'!D58</f>
        <v>0</v>
      </c>
      <c r="E58" s="104">
        <f>'TOTAL STOCK'!E58-'CLOSING STOCK'!E58</f>
        <v>0</v>
      </c>
      <c r="F58" s="106">
        <f>'TOTAL STOCK'!F58-'CLOSING STOCK'!F58</f>
        <v>0</v>
      </c>
      <c r="G58" s="107">
        <f>'TOTAL STOCK'!G58-'CLOSING STOCK'!G58</f>
        <v>0</v>
      </c>
      <c r="H58" s="105">
        <f>'TOTAL STOCK'!H58-'CLOSING STOCK'!H58</f>
        <v>15</v>
      </c>
      <c r="I58" s="104">
        <f>'TOTAL STOCK'!I58-'CLOSING STOCK'!I58</f>
        <v>0</v>
      </c>
      <c r="J58" s="106">
        <f>'TOTAL STOCK'!J58-'CLOSING STOCK'!J58</f>
        <v>8</v>
      </c>
      <c r="K58" s="107">
        <f>'TOTAL STOCK'!K58-'CLOSING STOCK'!K58</f>
        <v>0</v>
      </c>
      <c r="L58" s="105">
        <f>'TOTAL STOCK'!L58-'CLOSING STOCK'!L58</f>
        <v>0</v>
      </c>
      <c r="M58" s="77">
        <f t="shared" si="1"/>
        <v>5170</v>
      </c>
      <c r="N58" s="102">
        <v>1100</v>
      </c>
      <c r="O58" s="19">
        <v>560</v>
      </c>
      <c r="P58" s="19">
        <v>270</v>
      </c>
      <c r="Q58" s="73">
        <v>140</v>
      </c>
      <c r="R58" s="4">
        <v>100</v>
      </c>
    </row>
    <row r="59" spans="1:18" ht="22.95" customHeight="1" x14ac:dyDescent="0.3">
      <c r="A59" s="3">
        <v>6</v>
      </c>
      <c r="B59" s="97" t="s">
        <v>55</v>
      </c>
      <c r="C59" s="104">
        <f>'TOTAL STOCK'!C59-'CLOSING STOCK'!C59</f>
        <v>0</v>
      </c>
      <c r="D59" s="105">
        <f>'TOTAL STOCK'!D59-'CLOSING STOCK'!D59</f>
        <v>0</v>
      </c>
      <c r="E59" s="104">
        <f>'TOTAL STOCK'!E59-'CLOSING STOCK'!E59</f>
        <v>0</v>
      </c>
      <c r="F59" s="106">
        <f>'TOTAL STOCK'!F59-'CLOSING STOCK'!F59</f>
        <v>0</v>
      </c>
      <c r="G59" s="107">
        <f>'TOTAL STOCK'!G59-'CLOSING STOCK'!G59</f>
        <v>0</v>
      </c>
      <c r="H59" s="105">
        <f>'TOTAL STOCK'!H59-'CLOSING STOCK'!H59</f>
        <v>15</v>
      </c>
      <c r="I59" s="104">
        <f>'TOTAL STOCK'!I59-'CLOSING STOCK'!I59</f>
        <v>0</v>
      </c>
      <c r="J59" s="106">
        <f>'TOTAL STOCK'!J59-'CLOSING STOCK'!J59</f>
        <v>0</v>
      </c>
      <c r="K59" s="107">
        <f>'TOTAL STOCK'!K59-'CLOSING STOCK'!K59</f>
        <v>0</v>
      </c>
      <c r="L59" s="105">
        <f>'TOTAL STOCK'!L59-'CLOSING STOCK'!L59</f>
        <v>0</v>
      </c>
      <c r="M59" s="77">
        <f t="shared" si="1"/>
        <v>750</v>
      </c>
      <c r="N59" s="102">
        <v>180</v>
      </c>
      <c r="O59" s="19">
        <v>100</v>
      </c>
      <c r="P59" s="19">
        <v>50</v>
      </c>
      <c r="Q59" s="73"/>
      <c r="R59" s="4"/>
    </row>
    <row r="60" spans="1:18" ht="22.95" customHeight="1" x14ac:dyDescent="0.3">
      <c r="A60" s="3">
        <v>7</v>
      </c>
      <c r="B60" s="97" t="s">
        <v>56</v>
      </c>
      <c r="C60" s="104">
        <f>'TOTAL STOCK'!C60-'CLOSING STOCK'!C60</f>
        <v>0</v>
      </c>
      <c r="D60" s="105">
        <f>'TOTAL STOCK'!D60-'CLOSING STOCK'!D60</f>
        <v>2</v>
      </c>
      <c r="E60" s="104">
        <f>'TOTAL STOCK'!E60-'CLOSING STOCK'!E60</f>
        <v>0</v>
      </c>
      <c r="F60" s="106">
        <f>'TOTAL STOCK'!F60-'CLOSING STOCK'!F60</f>
        <v>3</v>
      </c>
      <c r="G60" s="107">
        <f>'TOTAL STOCK'!G60-'CLOSING STOCK'!G60</f>
        <v>0</v>
      </c>
      <c r="H60" s="105">
        <f>'TOTAL STOCK'!H60-'CLOSING STOCK'!H60</f>
        <v>12</v>
      </c>
      <c r="I60" s="104">
        <f>'TOTAL STOCK'!I60-'CLOSING STOCK'!I60</f>
        <v>0</v>
      </c>
      <c r="J60" s="106">
        <f>'TOTAL STOCK'!J60-'CLOSING STOCK'!J60</f>
        <v>0</v>
      </c>
      <c r="K60" s="107">
        <f>'TOTAL STOCK'!K60-'CLOSING STOCK'!K60</f>
        <v>0</v>
      </c>
      <c r="L60" s="105">
        <f>'TOTAL STOCK'!L60-'CLOSING STOCK'!L60</f>
        <v>0</v>
      </c>
      <c r="M60" s="77">
        <f t="shared" si="1"/>
        <v>1260</v>
      </c>
      <c r="N60" s="102">
        <v>180</v>
      </c>
      <c r="O60" s="19">
        <v>100</v>
      </c>
      <c r="P60" s="19">
        <v>50</v>
      </c>
      <c r="Q60" s="73"/>
      <c r="R60" s="4"/>
    </row>
    <row r="61" spans="1:18" ht="22.95" customHeight="1" x14ac:dyDescent="0.3">
      <c r="A61" s="3">
        <v>8</v>
      </c>
      <c r="B61" s="97" t="s">
        <v>126</v>
      </c>
      <c r="C61" s="104">
        <f>'TOTAL STOCK'!C61-'CLOSING STOCK'!C61</f>
        <v>0</v>
      </c>
      <c r="D61" s="105">
        <f>'TOTAL STOCK'!D61-'CLOSING STOCK'!D61</f>
        <v>0</v>
      </c>
      <c r="E61" s="104">
        <f>'TOTAL STOCK'!E61-'CLOSING STOCK'!E61</f>
        <v>0</v>
      </c>
      <c r="F61" s="106">
        <f>'TOTAL STOCK'!F61-'CLOSING STOCK'!F61</f>
        <v>1</v>
      </c>
      <c r="G61" s="107">
        <f>'TOTAL STOCK'!G61-'CLOSING STOCK'!G61</f>
        <v>0</v>
      </c>
      <c r="H61" s="105">
        <f>'TOTAL STOCK'!H61-'CLOSING STOCK'!H61</f>
        <v>2</v>
      </c>
      <c r="I61" s="104">
        <f>'TOTAL STOCK'!I61-'CLOSING STOCK'!I61</f>
        <v>0</v>
      </c>
      <c r="J61" s="106">
        <f>'TOTAL STOCK'!J61-'CLOSING STOCK'!J61</f>
        <v>0</v>
      </c>
      <c r="K61" s="107">
        <f>'TOTAL STOCK'!K61-'CLOSING STOCK'!K61</f>
        <v>0</v>
      </c>
      <c r="L61" s="105">
        <f>'TOTAL STOCK'!L61-'CLOSING STOCK'!L61</f>
        <v>0</v>
      </c>
      <c r="M61" s="77">
        <f t="shared" si="1"/>
        <v>380</v>
      </c>
      <c r="N61" s="102">
        <v>360</v>
      </c>
      <c r="O61" s="19">
        <v>180</v>
      </c>
      <c r="P61" s="19">
        <v>100</v>
      </c>
      <c r="Q61" s="73"/>
      <c r="R61" s="4"/>
    </row>
    <row r="62" spans="1:18" ht="22.95" customHeight="1" x14ac:dyDescent="0.3">
      <c r="A62" s="3">
        <v>9</v>
      </c>
      <c r="B62" s="97" t="s">
        <v>147</v>
      </c>
      <c r="C62" s="104">
        <f>'TOTAL STOCK'!C62-'CLOSING STOCK'!C62</f>
        <v>0</v>
      </c>
      <c r="D62" s="105">
        <f>'TOTAL STOCK'!D62-'CLOSING STOCK'!D62</f>
        <v>0</v>
      </c>
      <c r="E62" s="104">
        <f>'TOTAL STOCK'!E62-'CLOSING STOCK'!E62</f>
        <v>0</v>
      </c>
      <c r="F62" s="106">
        <f>'TOTAL STOCK'!F62-'CLOSING STOCK'!F62</f>
        <v>0</v>
      </c>
      <c r="G62" s="107">
        <f>'TOTAL STOCK'!G62-'CLOSING STOCK'!G62</f>
        <v>0</v>
      </c>
      <c r="H62" s="105">
        <f>'TOTAL STOCK'!H62-'CLOSING STOCK'!H62</f>
        <v>0</v>
      </c>
      <c r="I62" s="104">
        <f>'TOTAL STOCK'!I62-'CLOSING STOCK'!I62</f>
        <v>0</v>
      </c>
      <c r="J62" s="106">
        <f>'TOTAL STOCK'!J62-'CLOSING STOCK'!J62</f>
        <v>0</v>
      </c>
      <c r="K62" s="107">
        <f>'TOTAL STOCK'!K62-'CLOSING STOCK'!K62</f>
        <v>0</v>
      </c>
      <c r="L62" s="105">
        <f>'TOTAL STOCK'!L62-'CLOSING STOCK'!L62</f>
        <v>0</v>
      </c>
      <c r="M62" s="77">
        <f t="shared" si="1"/>
        <v>0</v>
      </c>
      <c r="N62" s="102">
        <v>300</v>
      </c>
      <c r="O62" s="19">
        <v>150</v>
      </c>
      <c r="P62" s="19">
        <v>100</v>
      </c>
      <c r="Q62" s="73"/>
      <c r="R62" s="4"/>
    </row>
    <row r="63" spans="1:18" ht="22.95" customHeight="1" x14ac:dyDescent="0.3">
      <c r="A63" s="3">
        <v>10</v>
      </c>
      <c r="B63" s="97">
        <v>0</v>
      </c>
      <c r="C63" s="104">
        <f>'TOTAL STOCK'!C63-'CLOSING STOCK'!C63</f>
        <v>0</v>
      </c>
      <c r="D63" s="105">
        <f>'TOTAL STOCK'!D63-'CLOSING STOCK'!D63</f>
        <v>0</v>
      </c>
      <c r="E63" s="104">
        <f>'TOTAL STOCK'!E63-'CLOSING STOCK'!E63</f>
        <v>0</v>
      </c>
      <c r="F63" s="106">
        <f>'TOTAL STOCK'!F63-'CLOSING STOCK'!F63</f>
        <v>0</v>
      </c>
      <c r="G63" s="107">
        <f>'TOTAL STOCK'!G63-'CLOSING STOCK'!G63</f>
        <v>0</v>
      </c>
      <c r="H63" s="105">
        <f>'TOTAL STOCK'!H63-'CLOSING STOCK'!H63</f>
        <v>0</v>
      </c>
      <c r="I63" s="104">
        <f>'TOTAL STOCK'!I63-'CLOSING STOCK'!I63</f>
        <v>0</v>
      </c>
      <c r="J63" s="106">
        <f>'TOTAL STOCK'!J63-'CLOSING STOCK'!J63</f>
        <v>0</v>
      </c>
      <c r="K63" s="107">
        <f>'TOTAL STOCK'!K63-'CLOSING STOCK'!K63</f>
        <v>0</v>
      </c>
      <c r="L63" s="105">
        <f>'TOTAL STOCK'!L63-'CLOSING STOCK'!L63</f>
        <v>0</v>
      </c>
      <c r="M63" s="77">
        <f t="shared" si="1"/>
        <v>0</v>
      </c>
      <c r="N63" s="102">
        <v>850</v>
      </c>
      <c r="O63" s="19">
        <v>450</v>
      </c>
      <c r="P63" s="19">
        <v>50</v>
      </c>
      <c r="Q63" s="73"/>
      <c r="R63" s="4"/>
    </row>
    <row r="64" spans="1:18" ht="22.95" customHeight="1" x14ac:dyDescent="0.3">
      <c r="A64" s="3">
        <v>11</v>
      </c>
      <c r="B64" s="97" t="s">
        <v>124</v>
      </c>
      <c r="C64" s="104">
        <f>'TOTAL STOCK'!C64-'CLOSING STOCK'!C64</f>
        <v>0</v>
      </c>
      <c r="D64" s="105">
        <f>'TOTAL STOCK'!D64-'CLOSING STOCK'!D64</f>
        <v>0</v>
      </c>
      <c r="E64" s="104">
        <f>'TOTAL STOCK'!E64-'CLOSING STOCK'!E64</f>
        <v>0</v>
      </c>
      <c r="F64" s="106">
        <f>'TOTAL STOCK'!F64-'CLOSING STOCK'!F64</f>
        <v>0</v>
      </c>
      <c r="G64" s="107">
        <f>'TOTAL STOCK'!G64-'CLOSING STOCK'!G64</f>
        <v>1</v>
      </c>
      <c r="H64" s="105">
        <f>'TOTAL STOCK'!H64-'CLOSING STOCK'!H64</f>
        <v>-31</v>
      </c>
      <c r="I64" s="104">
        <f>'TOTAL STOCK'!I64-'CLOSING STOCK'!I64</f>
        <v>0</v>
      </c>
      <c r="J64" s="106">
        <f>'TOTAL STOCK'!J64-'CLOSING STOCK'!J64</f>
        <v>0</v>
      </c>
      <c r="K64" s="107">
        <f>'TOTAL STOCK'!K64-'CLOSING STOCK'!K64</f>
        <v>1</v>
      </c>
      <c r="L64" s="105">
        <f>'TOTAL STOCK'!L64-'CLOSING STOCK'!L64</f>
        <v>-20</v>
      </c>
      <c r="M64" s="77">
        <f t="shared" si="1"/>
        <v>6600</v>
      </c>
      <c r="N64" s="102">
        <v>1400</v>
      </c>
      <c r="O64" s="19">
        <v>700</v>
      </c>
      <c r="P64" s="19">
        <v>350</v>
      </c>
      <c r="Q64" s="73"/>
      <c r="R64" s="4">
        <v>130</v>
      </c>
    </row>
    <row r="65" spans="1:18" ht="22.95" customHeight="1" x14ac:dyDescent="0.3">
      <c r="A65" s="3">
        <v>12</v>
      </c>
      <c r="B65" s="196" t="s">
        <v>125</v>
      </c>
      <c r="C65" s="104">
        <f>'TOTAL STOCK'!C65-'CLOSING STOCK'!C65</f>
        <v>0</v>
      </c>
      <c r="D65" s="105">
        <f>'TOTAL STOCK'!D65-'CLOSING STOCK'!D65</f>
        <v>0</v>
      </c>
      <c r="E65" s="104">
        <f>'TOTAL STOCK'!E65-'CLOSING STOCK'!E65</f>
        <v>0</v>
      </c>
      <c r="F65" s="106">
        <f>'TOTAL STOCK'!F65-'CLOSING STOCK'!F65</f>
        <v>26</v>
      </c>
      <c r="G65" s="107">
        <f>'TOTAL STOCK'!G65-'CLOSING STOCK'!G65</f>
        <v>0</v>
      </c>
      <c r="H65" s="105">
        <f>'TOTAL STOCK'!H65-'CLOSING STOCK'!H65</f>
        <v>0</v>
      </c>
      <c r="I65" s="104">
        <f>'TOTAL STOCK'!I65-'CLOSING STOCK'!I65</f>
        <v>0</v>
      </c>
      <c r="J65" s="106">
        <f>'TOTAL STOCK'!J65-'CLOSING STOCK'!J65</f>
        <v>0</v>
      </c>
      <c r="K65" s="107">
        <f>'TOTAL STOCK'!K65-'CLOSING STOCK'!K65</f>
        <v>0</v>
      </c>
      <c r="L65" s="105">
        <f>'TOTAL STOCK'!L65-'CLOSING STOCK'!L65</f>
        <v>0</v>
      </c>
      <c r="M65" s="77">
        <f t="shared" si="1"/>
        <v>3640</v>
      </c>
      <c r="N65" s="102">
        <v>140</v>
      </c>
      <c r="O65" s="19">
        <v>140</v>
      </c>
      <c r="P65" s="19">
        <v>140</v>
      </c>
      <c r="Q65" s="73"/>
      <c r="R65" s="4"/>
    </row>
    <row r="66" spans="1:18" ht="22.95" customHeight="1" x14ac:dyDescent="0.3">
      <c r="A66" s="3">
        <v>13</v>
      </c>
      <c r="B66" s="196" t="s">
        <v>139</v>
      </c>
      <c r="C66" s="104">
        <f>'TOTAL STOCK'!C66-'CLOSING STOCK'!C66</f>
        <v>0</v>
      </c>
      <c r="D66" s="105">
        <f>'TOTAL STOCK'!D66-'CLOSING STOCK'!D66</f>
        <v>0</v>
      </c>
      <c r="E66" s="104">
        <f>'TOTAL STOCK'!E66-'CLOSING STOCK'!E66</f>
        <v>0</v>
      </c>
      <c r="F66" s="106">
        <f>'TOTAL STOCK'!F66-'CLOSING STOCK'!F66</f>
        <v>0</v>
      </c>
      <c r="G66" s="107">
        <f>'TOTAL STOCK'!G66-'CLOSING STOCK'!G66</f>
        <v>0</v>
      </c>
      <c r="H66" s="105">
        <f>'TOTAL STOCK'!H66-'CLOSING STOCK'!H66</f>
        <v>0</v>
      </c>
      <c r="I66" s="104">
        <f>'TOTAL STOCK'!I66-'CLOSING STOCK'!I66</f>
        <v>0</v>
      </c>
      <c r="J66" s="106">
        <f>'TOTAL STOCK'!J66-'CLOSING STOCK'!J66</f>
        <v>0</v>
      </c>
      <c r="K66" s="107">
        <f>'TOTAL STOCK'!K66-'CLOSING STOCK'!K66</f>
        <v>0</v>
      </c>
      <c r="L66" s="105">
        <f>'TOTAL STOCK'!L66-'CLOSING STOCK'!L66</f>
        <v>0</v>
      </c>
      <c r="M66" s="77">
        <f t="shared" si="1"/>
        <v>0</v>
      </c>
      <c r="N66" s="102">
        <v>180</v>
      </c>
      <c r="O66" s="19">
        <v>100</v>
      </c>
      <c r="P66" s="19">
        <v>50</v>
      </c>
      <c r="Q66" s="73"/>
      <c r="R66" s="4"/>
    </row>
    <row r="67" spans="1:18" ht="22.95" customHeight="1" x14ac:dyDescent="0.3">
      <c r="A67" s="3">
        <v>14</v>
      </c>
      <c r="B67" s="200" t="s">
        <v>148</v>
      </c>
      <c r="C67" s="104">
        <f>'TOTAL STOCK'!C67-'CLOSING STOCK'!C67</f>
        <v>0</v>
      </c>
      <c r="D67" s="105">
        <f>'TOTAL STOCK'!D67-'CLOSING STOCK'!D67</f>
        <v>0</v>
      </c>
      <c r="E67" s="104">
        <f>'TOTAL STOCK'!E67-'CLOSING STOCK'!E67</f>
        <v>0</v>
      </c>
      <c r="F67" s="106">
        <f>'TOTAL STOCK'!F67-'CLOSING STOCK'!F67</f>
        <v>0</v>
      </c>
      <c r="G67" s="107">
        <f>'TOTAL STOCK'!G67-'CLOSING STOCK'!G67</f>
        <v>1</v>
      </c>
      <c r="H67" s="105">
        <f>'TOTAL STOCK'!H67-'CLOSING STOCK'!H67</f>
        <v>0</v>
      </c>
      <c r="I67" s="104">
        <f>'TOTAL STOCK'!I67-'CLOSING STOCK'!I67</f>
        <v>0</v>
      </c>
      <c r="J67" s="106">
        <f>'TOTAL STOCK'!J67-'CLOSING STOCK'!J67</f>
        <v>0</v>
      </c>
      <c r="K67" s="107">
        <f>'TOTAL STOCK'!K67-'CLOSING STOCK'!K67</f>
        <v>0</v>
      </c>
      <c r="L67" s="105">
        <f>'TOTAL STOCK'!L67-'CLOSING STOCK'!L67</f>
        <v>0</v>
      </c>
      <c r="M67" s="77">
        <f t="shared" si="1"/>
        <v>5760</v>
      </c>
      <c r="N67" s="102">
        <v>480</v>
      </c>
      <c r="O67" s="19">
        <v>240</v>
      </c>
      <c r="P67" s="19">
        <v>120</v>
      </c>
      <c r="Q67" s="73"/>
      <c r="R67" s="4"/>
    </row>
    <row r="68" spans="1:18" ht="22.95" customHeight="1" x14ac:dyDescent="0.3">
      <c r="A68" s="3">
        <v>15</v>
      </c>
      <c r="B68" s="198"/>
      <c r="C68" s="104">
        <f>'TOTAL STOCK'!C68-'CLOSING STOCK'!C68</f>
        <v>0</v>
      </c>
      <c r="D68" s="105">
        <f>'TOTAL STOCK'!D68-'CLOSING STOCK'!D68</f>
        <v>0</v>
      </c>
      <c r="E68" s="104">
        <f>'TOTAL STOCK'!E68-'CLOSING STOCK'!E68</f>
        <v>0</v>
      </c>
      <c r="F68" s="106">
        <f>'TOTAL STOCK'!F68-'CLOSING STOCK'!F68</f>
        <v>0</v>
      </c>
      <c r="G68" s="107">
        <f>'TOTAL STOCK'!G68-'CLOSING STOCK'!G68</f>
        <v>0</v>
      </c>
      <c r="H68" s="105">
        <f>'TOTAL STOCK'!H68-'CLOSING STOCK'!H68</f>
        <v>0</v>
      </c>
      <c r="I68" s="104">
        <f>'TOTAL STOCK'!I68-'CLOSING STOCK'!I68</f>
        <v>0</v>
      </c>
      <c r="J68" s="106">
        <f>'TOTAL STOCK'!J68-'CLOSING STOCK'!J68</f>
        <v>0</v>
      </c>
      <c r="K68" s="107">
        <f>'TOTAL STOCK'!K68-'CLOSING STOCK'!K68</f>
        <v>0</v>
      </c>
      <c r="L68" s="105">
        <f>'TOTAL STOCK'!L68-'CLOSING STOCK'!L68</f>
        <v>0</v>
      </c>
      <c r="M68" s="77">
        <f t="shared" si="1"/>
        <v>0</v>
      </c>
      <c r="N68" s="102"/>
      <c r="O68" s="19"/>
      <c r="P68" s="19"/>
      <c r="Q68" s="73"/>
      <c r="R68" s="4"/>
    </row>
    <row r="69" spans="1:18" ht="22.95" customHeight="1" x14ac:dyDescent="0.3">
      <c r="A69" s="3">
        <v>16</v>
      </c>
      <c r="B69" s="199"/>
      <c r="C69" s="104">
        <f>'TOTAL STOCK'!C69-'CLOSING STOCK'!C69</f>
        <v>0</v>
      </c>
      <c r="D69" s="105">
        <f>'TOTAL STOCK'!D69-'CLOSING STOCK'!D69</f>
        <v>0</v>
      </c>
      <c r="E69" s="104">
        <f>'TOTAL STOCK'!E69-'CLOSING STOCK'!E69</f>
        <v>0</v>
      </c>
      <c r="F69" s="106">
        <f>'TOTAL STOCK'!F69-'CLOSING STOCK'!F69</f>
        <v>0</v>
      </c>
      <c r="G69" s="107">
        <f>'TOTAL STOCK'!G69-'CLOSING STOCK'!G69</f>
        <v>0</v>
      </c>
      <c r="H69" s="105">
        <f>'TOTAL STOCK'!H69-'CLOSING STOCK'!H69</f>
        <v>0</v>
      </c>
      <c r="I69" s="104">
        <f>'TOTAL STOCK'!I69-'CLOSING STOCK'!I69</f>
        <v>0</v>
      </c>
      <c r="J69" s="106">
        <f>'TOTAL STOCK'!J69-'CLOSING STOCK'!J69</f>
        <v>0</v>
      </c>
      <c r="K69" s="107">
        <f>'TOTAL STOCK'!K69-'CLOSING STOCK'!K69</f>
        <v>0</v>
      </c>
      <c r="L69" s="105">
        <f>'TOTAL STOCK'!L69-'CLOSING STOCK'!L69</f>
        <v>0</v>
      </c>
      <c r="M69" s="77">
        <f t="shared" si="1"/>
        <v>0</v>
      </c>
      <c r="N69" s="102"/>
      <c r="O69" s="19"/>
      <c r="P69" s="19"/>
      <c r="Q69" s="73"/>
      <c r="R69" s="4"/>
    </row>
    <row r="70" spans="1:18" ht="22.95" customHeight="1" x14ac:dyDescent="0.3">
      <c r="A70" s="3">
        <v>17</v>
      </c>
      <c r="B70" s="2"/>
      <c r="C70" s="104">
        <f>'TOTAL STOCK'!C70-'CLOSING STOCK'!C70</f>
        <v>0</v>
      </c>
      <c r="D70" s="105">
        <f>'TOTAL STOCK'!D70-'CLOSING STOCK'!D70</f>
        <v>0</v>
      </c>
      <c r="E70" s="104">
        <f>'TOTAL STOCK'!E70-'CLOSING STOCK'!E70</f>
        <v>0</v>
      </c>
      <c r="F70" s="106">
        <f>'TOTAL STOCK'!F70-'CLOSING STOCK'!F70</f>
        <v>0</v>
      </c>
      <c r="G70" s="107">
        <f>'TOTAL STOCK'!G70-'CLOSING STOCK'!G70</f>
        <v>0</v>
      </c>
      <c r="H70" s="105">
        <f>'TOTAL STOCK'!H70-'CLOSING STOCK'!H70</f>
        <v>0</v>
      </c>
      <c r="I70" s="104">
        <f>'TOTAL STOCK'!I70-'CLOSING STOCK'!I70</f>
        <v>0</v>
      </c>
      <c r="J70" s="106">
        <f>'TOTAL STOCK'!J70-'CLOSING STOCK'!J70</f>
        <v>0</v>
      </c>
      <c r="K70" s="107">
        <f>'TOTAL STOCK'!K70-'CLOSING STOCK'!K70</f>
        <v>0</v>
      </c>
      <c r="L70" s="105">
        <f>'TOTAL STOCK'!L70-'CLOSING STOCK'!L70</f>
        <v>0</v>
      </c>
      <c r="M70" s="77">
        <f t="shared" si="1"/>
        <v>0</v>
      </c>
      <c r="N70" s="102"/>
      <c r="O70" s="19"/>
      <c r="P70" s="19"/>
      <c r="Q70" s="73"/>
      <c r="R70" s="4"/>
    </row>
    <row r="71" spans="1:18" ht="22.95" customHeight="1" thickBot="1" x14ac:dyDescent="0.35">
      <c r="A71" s="41">
        <v>18</v>
      </c>
      <c r="B71" s="51"/>
      <c r="C71" s="108">
        <f>'TOTAL STOCK'!C71-'CLOSING STOCK'!C71</f>
        <v>0</v>
      </c>
      <c r="D71" s="109">
        <f>'TOTAL STOCK'!D71-'CLOSING STOCK'!D71</f>
        <v>0</v>
      </c>
      <c r="E71" s="108">
        <f>'TOTAL STOCK'!E71-'CLOSING STOCK'!E71</f>
        <v>0</v>
      </c>
      <c r="F71" s="110">
        <f>'TOTAL STOCK'!F71-'CLOSING STOCK'!F71</f>
        <v>0</v>
      </c>
      <c r="G71" s="111">
        <f>'TOTAL STOCK'!G71-'CLOSING STOCK'!G71</f>
        <v>0</v>
      </c>
      <c r="H71" s="109">
        <f>'TOTAL STOCK'!H71-'CLOSING STOCK'!H71</f>
        <v>0</v>
      </c>
      <c r="I71" s="108">
        <f>'TOTAL STOCK'!I71-'CLOSING STOCK'!I71</f>
        <v>0</v>
      </c>
      <c r="J71" s="110">
        <f>'TOTAL STOCK'!J71-'CLOSING STOCK'!J71</f>
        <v>0</v>
      </c>
      <c r="K71" s="111">
        <f>'TOTAL STOCK'!K71-'CLOSING STOCK'!K71</f>
        <v>0</v>
      </c>
      <c r="L71" s="109">
        <f>'TOTAL STOCK'!L71-'CLOSING STOCK'!L71</f>
        <v>0</v>
      </c>
      <c r="M71" s="77">
        <f t="shared" si="1"/>
        <v>0</v>
      </c>
      <c r="N71" s="103"/>
      <c r="O71" s="71"/>
      <c r="P71" s="71"/>
      <c r="Q71" s="76"/>
      <c r="R71" s="50"/>
    </row>
    <row r="72" spans="1:18" ht="22.95" customHeight="1" thickBot="1" x14ac:dyDescent="0.35">
      <c r="A72" s="218" t="s">
        <v>14</v>
      </c>
      <c r="B72" s="219"/>
      <c r="C72" s="222" t="s">
        <v>84</v>
      </c>
      <c r="D72" s="222"/>
      <c r="E72" s="222"/>
      <c r="F72" s="222"/>
      <c r="G72" s="222"/>
      <c r="H72" s="222"/>
      <c r="I72" s="222"/>
      <c r="J72" s="223"/>
      <c r="K72" s="205"/>
      <c r="L72" s="202"/>
      <c r="M72" s="77"/>
      <c r="N72" s="216" t="s">
        <v>95</v>
      </c>
      <c r="O72" s="217"/>
      <c r="P72" s="217"/>
      <c r="Q72" s="217"/>
      <c r="R72" s="44"/>
    </row>
    <row r="73" spans="1:18" ht="22.95" customHeight="1" x14ac:dyDescent="0.3">
      <c r="A73" s="220"/>
      <c r="B73" s="221"/>
      <c r="C73" s="224" t="s">
        <v>15</v>
      </c>
      <c r="D73" s="225"/>
      <c r="E73" s="224" t="s">
        <v>68</v>
      </c>
      <c r="F73" s="226"/>
      <c r="G73" s="227" t="s">
        <v>16</v>
      </c>
      <c r="H73" s="225"/>
      <c r="I73" s="224" t="s">
        <v>69</v>
      </c>
      <c r="J73" s="226"/>
      <c r="K73" s="202"/>
      <c r="L73" s="202"/>
      <c r="M73" s="77"/>
      <c r="N73" s="18" t="s">
        <v>15</v>
      </c>
      <c r="O73" s="70" t="s">
        <v>85</v>
      </c>
      <c r="P73" s="70" t="s">
        <v>86</v>
      </c>
      <c r="Q73" s="17" t="s">
        <v>87</v>
      </c>
      <c r="R73" s="92"/>
    </row>
    <row r="74" spans="1:18" ht="22.95" customHeight="1" x14ac:dyDescent="0.3">
      <c r="A74" s="37" t="s">
        <v>9</v>
      </c>
      <c r="B74" s="38" t="s">
        <v>13</v>
      </c>
      <c r="C74" s="5" t="s">
        <v>2</v>
      </c>
      <c r="D74" s="8" t="s">
        <v>3</v>
      </c>
      <c r="E74" s="5" t="s">
        <v>10</v>
      </c>
      <c r="F74" s="6" t="s">
        <v>3</v>
      </c>
      <c r="G74" s="7" t="s">
        <v>10</v>
      </c>
      <c r="H74" s="8" t="s">
        <v>3</v>
      </c>
      <c r="I74" s="5" t="s">
        <v>10</v>
      </c>
      <c r="J74" s="6" t="s">
        <v>3</v>
      </c>
      <c r="K74" s="202"/>
      <c r="L74" s="202"/>
      <c r="M74" s="77"/>
      <c r="N74" s="5" t="s">
        <v>96</v>
      </c>
      <c r="O74" s="69" t="s">
        <v>96</v>
      </c>
      <c r="P74" s="69" t="s">
        <v>96</v>
      </c>
      <c r="Q74" s="6" t="s">
        <v>96</v>
      </c>
      <c r="R74" s="92"/>
    </row>
    <row r="75" spans="1:18" ht="22.95" customHeight="1" x14ac:dyDescent="0.3">
      <c r="A75" s="3">
        <v>1</v>
      </c>
      <c r="B75" s="97" t="s">
        <v>57</v>
      </c>
      <c r="C75" s="104">
        <f>'TOTAL STOCK'!C75-'CLOSING STOCK'!C75</f>
        <v>1</v>
      </c>
      <c r="D75" s="105">
        <f>'TOTAL STOCK'!D75-'CLOSING STOCK'!D75</f>
        <v>15</v>
      </c>
      <c r="E75" s="104">
        <f>'TOTAL STOCK'!E75-'CLOSING STOCK'!E75</f>
        <v>0</v>
      </c>
      <c r="F75" s="106">
        <f>'TOTAL STOCK'!F75-'CLOSING STOCK'!F75</f>
        <v>0</v>
      </c>
      <c r="G75" s="107">
        <f>'TOTAL STOCK'!G75-'CLOSING STOCK'!G75</f>
        <v>0</v>
      </c>
      <c r="H75" s="105">
        <f>'TOTAL STOCK'!H75-'CLOSING STOCK'!H75</f>
        <v>0</v>
      </c>
      <c r="I75" s="104">
        <f>'TOTAL STOCK'!I75-'CLOSING STOCK'!I75</f>
        <v>0</v>
      </c>
      <c r="J75" s="106">
        <f>'TOTAL STOCK'!J75-'CLOSING STOCK'!J75</f>
        <v>0</v>
      </c>
      <c r="K75" s="202"/>
      <c r="L75" s="202"/>
      <c r="M75" s="77">
        <f>(C75*12*N75)+(D75*N75)+(E75*24*O75)+(F75*O75)+(G75*24*P75)+(H75*P75)+(I75*24*Q75)+(J75*Q75)+(K75*24*R75)+(L75*R75)</f>
        <v>5940</v>
      </c>
      <c r="N75" s="102">
        <v>220</v>
      </c>
      <c r="O75" s="19">
        <v>160</v>
      </c>
      <c r="P75" s="19">
        <v>120</v>
      </c>
      <c r="Q75" s="1">
        <v>130</v>
      </c>
      <c r="R75" s="92"/>
    </row>
    <row r="76" spans="1:18" ht="22.95" customHeight="1" x14ac:dyDescent="0.3">
      <c r="A76" s="3">
        <v>2</v>
      </c>
      <c r="B76" s="97" t="s">
        <v>58</v>
      </c>
      <c r="C76" s="104">
        <f>'TOTAL STOCK'!C76-'CLOSING STOCK'!C76</f>
        <v>39</v>
      </c>
      <c r="D76" s="105">
        <f>'TOTAL STOCK'!D76-'CLOSING STOCK'!D76</f>
        <v>-10</v>
      </c>
      <c r="E76" s="104">
        <f>'TOTAL STOCK'!E76-'CLOSING STOCK'!E76</f>
        <v>2</v>
      </c>
      <c r="F76" s="106">
        <f>'TOTAL STOCK'!F76-'CLOSING STOCK'!F76</f>
        <v>-33</v>
      </c>
      <c r="G76" s="107">
        <f>'TOTAL STOCK'!G76-'CLOSING STOCK'!G76</f>
        <v>3</v>
      </c>
      <c r="H76" s="105">
        <f>'TOTAL STOCK'!H76-'CLOSING STOCK'!H76</f>
        <v>-9</v>
      </c>
      <c r="I76" s="104">
        <f>'TOTAL STOCK'!I76-'CLOSING STOCK'!I76</f>
        <v>1</v>
      </c>
      <c r="J76" s="106">
        <f>'TOTAL STOCK'!J76-'CLOSING STOCK'!J76</f>
        <v>-13</v>
      </c>
      <c r="K76" s="202"/>
      <c r="L76" s="202"/>
      <c r="M76" s="77">
        <f t="shared" ref="M76:M94" si="2">(C76*12*N76)+(D76*N76)+(E76*24*O76)+(F76*O76)+(G76*24*P76)+(H76*P76)+(I76*24*Q76)+(J76*Q76)+(K76*24*R76)+(L76*R76)</f>
        <v>114440</v>
      </c>
      <c r="N76" s="102">
        <v>225</v>
      </c>
      <c r="O76" s="19">
        <v>160</v>
      </c>
      <c r="P76" s="19">
        <v>120</v>
      </c>
      <c r="Q76" s="1">
        <v>130</v>
      </c>
      <c r="R76" s="92"/>
    </row>
    <row r="77" spans="1:18" ht="22.95" customHeight="1" x14ac:dyDescent="0.3">
      <c r="A77" s="3">
        <v>3</v>
      </c>
      <c r="B77" s="97" t="s">
        <v>59</v>
      </c>
      <c r="C77" s="104">
        <f>'TOTAL STOCK'!C77-'CLOSING STOCK'!C77</f>
        <v>1</v>
      </c>
      <c r="D77" s="105">
        <f>'TOTAL STOCK'!D77-'CLOSING STOCK'!D77</f>
        <v>1</v>
      </c>
      <c r="E77" s="104">
        <f>'TOTAL STOCK'!E77-'CLOSING STOCK'!E77</f>
        <v>0</v>
      </c>
      <c r="F77" s="106">
        <f>'TOTAL STOCK'!F77-'CLOSING STOCK'!F77</f>
        <v>0</v>
      </c>
      <c r="G77" s="107">
        <f>'TOTAL STOCK'!G77-'CLOSING STOCK'!G77</f>
        <v>0</v>
      </c>
      <c r="H77" s="105">
        <f>'TOTAL STOCK'!H77-'CLOSING STOCK'!H77</f>
        <v>0</v>
      </c>
      <c r="I77" s="104">
        <f>'TOTAL STOCK'!I77-'CLOSING STOCK'!I77</f>
        <v>0</v>
      </c>
      <c r="J77" s="106">
        <f>'TOTAL STOCK'!J77-'CLOSING STOCK'!J77</f>
        <v>0</v>
      </c>
      <c r="K77" s="202"/>
      <c r="L77" s="202"/>
      <c r="M77" s="77">
        <f t="shared" si="2"/>
        <v>2340</v>
      </c>
      <c r="N77" s="102">
        <v>180</v>
      </c>
      <c r="O77" s="19">
        <v>130</v>
      </c>
      <c r="P77" s="19">
        <v>100</v>
      </c>
      <c r="Q77" s="1">
        <v>90</v>
      </c>
      <c r="R77" s="92"/>
    </row>
    <row r="78" spans="1:18" ht="22.95" customHeight="1" x14ac:dyDescent="0.3">
      <c r="A78" s="3">
        <v>4</v>
      </c>
      <c r="B78" s="97" t="s">
        <v>60</v>
      </c>
      <c r="C78" s="104">
        <f>'TOTAL STOCK'!C78-'CLOSING STOCK'!C78</f>
        <v>5</v>
      </c>
      <c r="D78" s="105">
        <f>'TOTAL STOCK'!D78-'CLOSING STOCK'!D78</f>
        <v>-10</v>
      </c>
      <c r="E78" s="104">
        <f>'TOTAL STOCK'!E78-'CLOSING STOCK'!E78</f>
        <v>0</v>
      </c>
      <c r="F78" s="106">
        <f>'TOTAL STOCK'!F78-'CLOSING STOCK'!F78</f>
        <v>0</v>
      </c>
      <c r="G78" s="107">
        <f>'TOTAL STOCK'!G78-'CLOSING STOCK'!G78</f>
        <v>1</v>
      </c>
      <c r="H78" s="105">
        <f>'TOTAL STOCK'!H78-'CLOSING STOCK'!H78</f>
        <v>7</v>
      </c>
      <c r="I78" s="104">
        <f>'TOTAL STOCK'!I78-'CLOSING STOCK'!I78</f>
        <v>0</v>
      </c>
      <c r="J78" s="106">
        <f>'TOTAL STOCK'!J78-'CLOSING STOCK'!J78</f>
        <v>0</v>
      </c>
      <c r="K78" s="202"/>
      <c r="L78" s="202"/>
      <c r="M78" s="77">
        <f t="shared" si="2"/>
        <v>13910</v>
      </c>
      <c r="N78" s="102">
        <v>210</v>
      </c>
      <c r="O78" s="19">
        <v>160</v>
      </c>
      <c r="P78" s="19">
        <v>110</v>
      </c>
      <c r="Q78" s="1">
        <v>130</v>
      </c>
      <c r="R78" s="92"/>
    </row>
    <row r="79" spans="1:18" ht="22.95" customHeight="1" x14ac:dyDescent="0.3">
      <c r="A79" s="3">
        <v>5</v>
      </c>
      <c r="B79" s="100" t="s">
        <v>76</v>
      </c>
      <c r="C79" s="104">
        <f>'TOTAL STOCK'!C79-'CLOSING STOCK'!C79</f>
        <v>0</v>
      </c>
      <c r="D79" s="105">
        <f>'TOTAL STOCK'!D79-'CLOSING STOCK'!D79</f>
        <v>0</v>
      </c>
      <c r="E79" s="104">
        <f>'TOTAL STOCK'!E79-'CLOSING STOCK'!E79</f>
        <v>0</v>
      </c>
      <c r="F79" s="106">
        <f>'TOTAL STOCK'!F79-'CLOSING STOCK'!F79</f>
        <v>0</v>
      </c>
      <c r="G79" s="107">
        <f>'TOTAL STOCK'!G79-'CLOSING STOCK'!G79</f>
        <v>0</v>
      </c>
      <c r="H79" s="105">
        <f>'TOTAL STOCK'!H79-'CLOSING STOCK'!H79</f>
        <v>0</v>
      </c>
      <c r="I79" s="104">
        <f>'TOTAL STOCK'!I79-'CLOSING STOCK'!I79</f>
        <v>0</v>
      </c>
      <c r="J79" s="106">
        <f>'TOTAL STOCK'!J79-'CLOSING STOCK'!J79</f>
        <v>0</v>
      </c>
      <c r="K79" s="202"/>
      <c r="L79" s="202"/>
      <c r="M79" s="77">
        <f t="shared" si="2"/>
        <v>0</v>
      </c>
      <c r="N79" s="102">
        <v>225</v>
      </c>
      <c r="O79" s="19">
        <v>160</v>
      </c>
      <c r="P79" s="19">
        <v>120</v>
      </c>
      <c r="Q79" s="1">
        <v>130</v>
      </c>
      <c r="R79" s="92"/>
    </row>
    <row r="80" spans="1:18" ht="22.95" customHeight="1" x14ac:dyDescent="0.3">
      <c r="A80" s="3">
        <v>6</v>
      </c>
      <c r="B80" s="100" t="s">
        <v>74</v>
      </c>
      <c r="C80" s="104">
        <f>'TOTAL STOCK'!C80-'CLOSING STOCK'!C80</f>
        <v>19</v>
      </c>
      <c r="D80" s="105">
        <f>'TOTAL STOCK'!D80-'CLOSING STOCK'!D80</f>
        <v>-3</v>
      </c>
      <c r="E80" s="104">
        <f>'TOTAL STOCK'!E80-'CLOSING STOCK'!E80</f>
        <v>0</v>
      </c>
      <c r="F80" s="106">
        <f>'TOTAL STOCK'!F80-'CLOSING STOCK'!F80</f>
        <v>23</v>
      </c>
      <c r="G80" s="107">
        <f>'TOTAL STOCK'!G80-'CLOSING STOCK'!G80</f>
        <v>0</v>
      </c>
      <c r="H80" s="105">
        <f>'TOTAL STOCK'!H80-'CLOSING STOCK'!H80</f>
        <v>0</v>
      </c>
      <c r="I80" s="104">
        <f>'TOTAL STOCK'!I80-'CLOSING STOCK'!I80</f>
        <v>0</v>
      </c>
      <c r="J80" s="106">
        <f>'TOTAL STOCK'!J80-'CLOSING STOCK'!J80</f>
        <v>0</v>
      </c>
      <c r="K80" s="202"/>
      <c r="L80" s="202"/>
      <c r="M80" s="77">
        <f t="shared" si="2"/>
        <v>66475</v>
      </c>
      <c r="N80" s="102">
        <v>275</v>
      </c>
      <c r="O80" s="19">
        <v>200</v>
      </c>
      <c r="P80" s="19">
        <v>135</v>
      </c>
      <c r="Q80" s="1">
        <v>140</v>
      </c>
      <c r="R80" s="92"/>
    </row>
    <row r="81" spans="1:18" ht="22.95" customHeight="1" x14ac:dyDescent="0.3">
      <c r="A81" s="3">
        <v>7</v>
      </c>
      <c r="B81" s="100" t="s">
        <v>75</v>
      </c>
      <c r="C81" s="104">
        <f>'TOTAL STOCK'!C81-'CLOSING STOCK'!C81</f>
        <v>3</v>
      </c>
      <c r="D81" s="105">
        <f>'TOTAL STOCK'!D81-'CLOSING STOCK'!D81</f>
        <v>-3</v>
      </c>
      <c r="E81" s="104">
        <f>'TOTAL STOCK'!E81-'CLOSING STOCK'!E81</f>
        <v>0</v>
      </c>
      <c r="F81" s="106">
        <f>'TOTAL STOCK'!F81-'CLOSING STOCK'!F81</f>
        <v>6</v>
      </c>
      <c r="G81" s="107">
        <f>'TOTAL STOCK'!G81-'CLOSING STOCK'!G81</f>
        <v>0</v>
      </c>
      <c r="H81" s="105">
        <f>'TOTAL STOCK'!H81-'CLOSING STOCK'!H81</f>
        <v>0</v>
      </c>
      <c r="I81" s="104">
        <f>'TOTAL STOCK'!I81-'CLOSING STOCK'!I81</f>
        <v>0</v>
      </c>
      <c r="J81" s="106">
        <f>'TOTAL STOCK'!J81-'CLOSING STOCK'!J81</f>
        <v>0</v>
      </c>
      <c r="K81" s="202"/>
      <c r="L81" s="202"/>
      <c r="M81" s="77">
        <f t="shared" si="2"/>
        <v>9780</v>
      </c>
      <c r="N81" s="102">
        <v>260</v>
      </c>
      <c r="O81" s="19">
        <v>200</v>
      </c>
      <c r="P81" s="19">
        <v>135</v>
      </c>
      <c r="Q81" s="1">
        <v>140</v>
      </c>
      <c r="R81" s="92"/>
    </row>
    <row r="82" spans="1:18" ht="22.95" customHeight="1" x14ac:dyDescent="0.3">
      <c r="A82" s="3">
        <v>8</v>
      </c>
      <c r="B82" s="100" t="s">
        <v>130</v>
      </c>
      <c r="C82" s="104">
        <f>'TOTAL STOCK'!C82-'CLOSING STOCK'!C82</f>
        <v>0</v>
      </c>
      <c r="D82" s="105">
        <f>'TOTAL STOCK'!D82-'CLOSING STOCK'!D82</f>
        <v>22</v>
      </c>
      <c r="E82" s="104">
        <f>'TOTAL STOCK'!E82-'CLOSING STOCK'!E82</f>
        <v>0</v>
      </c>
      <c r="F82" s="106">
        <f>'TOTAL STOCK'!F82-'CLOSING STOCK'!F82</f>
        <v>0</v>
      </c>
      <c r="G82" s="107">
        <f>'TOTAL STOCK'!G82-'CLOSING STOCK'!G82</f>
        <v>0</v>
      </c>
      <c r="H82" s="105">
        <f>'TOTAL STOCK'!H82-'CLOSING STOCK'!H82</f>
        <v>0</v>
      </c>
      <c r="I82" s="104">
        <f>'TOTAL STOCK'!I82-'CLOSING STOCK'!I82</f>
        <v>0</v>
      </c>
      <c r="J82" s="106">
        <f>'TOTAL STOCK'!J82-'CLOSING STOCK'!J82</f>
        <v>0</v>
      </c>
      <c r="K82" s="202"/>
      <c r="L82" s="202"/>
      <c r="M82" s="77">
        <f t="shared" si="2"/>
        <v>5720</v>
      </c>
      <c r="N82" s="102">
        <v>260</v>
      </c>
      <c r="O82" s="19">
        <v>200</v>
      </c>
      <c r="P82" s="19">
        <v>135</v>
      </c>
      <c r="Q82" s="1">
        <v>140</v>
      </c>
      <c r="R82" s="92"/>
    </row>
    <row r="83" spans="1:18" ht="22.95" customHeight="1" x14ac:dyDescent="0.3">
      <c r="A83" s="3">
        <v>9</v>
      </c>
      <c r="B83" s="97" t="s">
        <v>120</v>
      </c>
      <c r="C83" s="104">
        <f>'TOTAL STOCK'!C83-'CLOSING STOCK'!C83</f>
        <v>24</v>
      </c>
      <c r="D83" s="105">
        <f>'TOTAL STOCK'!D83-'CLOSING STOCK'!D83</f>
        <v>18</v>
      </c>
      <c r="E83" s="104">
        <f>'TOTAL STOCK'!E83-'CLOSING STOCK'!E83</f>
        <v>1</v>
      </c>
      <c r="F83" s="106">
        <f>'TOTAL STOCK'!F83-'CLOSING STOCK'!F83</f>
        <v>-13</v>
      </c>
      <c r="G83" s="107">
        <f>'TOTAL STOCK'!G83-'CLOSING STOCK'!G83</f>
        <v>2</v>
      </c>
      <c r="H83" s="105">
        <f>'TOTAL STOCK'!H83-'CLOSING STOCK'!H83</f>
        <v>-19</v>
      </c>
      <c r="I83" s="104">
        <f>'TOTAL STOCK'!I83-'CLOSING STOCK'!I83</f>
        <v>0</v>
      </c>
      <c r="J83" s="106">
        <f>'TOTAL STOCK'!J83-'CLOSING STOCK'!J83</f>
        <v>0</v>
      </c>
      <c r="K83" s="202"/>
      <c r="L83" s="202"/>
      <c r="M83" s="77">
        <f t="shared" si="2"/>
        <v>74380</v>
      </c>
      <c r="N83" s="102">
        <v>225</v>
      </c>
      <c r="O83" s="19">
        <v>160</v>
      </c>
      <c r="P83" s="19">
        <v>130</v>
      </c>
      <c r="Q83" s="1">
        <v>130</v>
      </c>
      <c r="R83" s="92"/>
    </row>
    <row r="84" spans="1:18" ht="22.95" customHeight="1" x14ac:dyDescent="0.3">
      <c r="A84" s="3">
        <v>10</v>
      </c>
      <c r="B84" s="100" t="s">
        <v>132</v>
      </c>
      <c r="C84" s="104">
        <f>'TOTAL STOCK'!C84-'CLOSING STOCK'!C84</f>
        <v>4</v>
      </c>
      <c r="D84" s="105">
        <f>'TOTAL STOCK'!D84-'CLOSING STOCK'!D84</f>
        <v>15</v>
      </c>
      <c r="E84" s="104">
        <f>'TOTAL STOCK'!E84-'CLOSING STOCK'!E84</f>
        <v>0</v>
      </c>
      <c r="F84" s="106">
        <f>'TOTAL STOCK'!F84-'CLOSING STOCK'!F84</f>
        <v>11</v>
      </c>
      <c r="G84" s="107">
        <f>'TOTAL STOCK'!G84-'CLOSING STOCK'!G84</f>
        <v>0</v>
      </c>
      <c r="H84" s="105">
        <f>'TOTAL STOCK'!H84-'CLOSING STOCK'!H84</f>
        <v>7</v>
      </c>
      <c r="I84" s="104">
        <f>'TOTAL STOCK'!I84-'CLOSING STOCK'!I84</f>
        <v>0</v>
      </c>
      <c r="J84" s="106">
        <f>'TOTAL STOCK'!J84-'CLOSING STOCK'!J84</f>
        <v>0</v>
      </c>
      <c r="K84" s="202"/>
      <c r="L84" s="202"/>
      <c r="M84" s="77">
        <f t="shared" si="2"/>
        <v>12730</v>
      </c>
      <c r="N84" s="102">
        <v>170</v>
      </c>
      <c r="O84" s="19">
        <v>120</v>
      </c>
      <c r="P84" s="19">
        <v>100</v>
      </c>
      <c r="Q84" s="1">
        <v>100</v>
      </c>
      <c r="R84" s="92"/>
    </row>
    <row r="85" spans="1:18" ht="22.95" customHeight="1" x14ac:dyDescent="0.3">
      <c r="A85" s="3">
        <v>11</v>
      </c>
      <c r="B85" s="97" t="s">
        <v>61</v>
      </c>
      <c r="C85" s="104">
        <f>'TOTAL STOCK'!C85-'CLOSING STOCK'!C85</f>
        <v>0</v>
      </c>
      <c r="D85" s="105">
        <f>'TOTAL STOCK'!D85-'CLOSING STOCK'!D85</f>
        <v>0</v>
      </c>
      <c r="E85" s="104">
        <f>'TOTAL STOCK'!E85-'CLOSING STOCK'!E85</f>
        <v>0</v>
      </c>
      <c r="F85" s="106">
        <f>'TOTAL STOCK'!F85-'CLOSING STOCK'!F85</f>
        <v>0</v>
      </c>
      <c r="G85" s="107">
        <f>'TOTAL STOCK'!G85-'CLOSING STOCK'!G85</f>
        <v>3</v>
      </c>
      <c r="H85" s="105">
        <f>'TOTAL STOCK'!H85-'CLOSING STOCK'!H85</f>
        <v>-28</v>
      </c>
      <c r="I85" s="104">
        <f>'TOTAL STOCK'!I85-'CLOSING STOCK'!I85</f>
        <v>0</v>
      </c>
      <c r="J85" s="106">
        <f>'TOTAL STOCK'!J85-'CLOSING STOCK'!J85</f>
        <v>0</v>
      </c>
      <c r="K85" s="202"/>
      <c r="L85" s="202"/>
      <c r="M85" s="77">
        <f>(C85*12*N85)+(D85*N85)+(E85*12*O85)+(F85*O85)+(G85*24*P85)+(H85*P85)+(I85*24*Q85)+(J85*Q85)+(K85*24*R85)+(L85*R85)</f>
        <v>5720</v>
      </c>
      <c r="N85" s="102">
        <v>205</v>
      </c>
      <c r="O85" s="19">
        <v>205</v>
      </c>
      <c r="P85" s="19">
        <v>130</v>
      </c>
      <c r="Q85" s="1">
        <v>130</v>
      </c>
      <c r="R85" s="92"/>
    </row>
    <row r="86" spans="1:18" ht="22.95" customHeight="1" x14ac:dyDescent="0.3">
      <c r="A86" s="3">
        <v>12</v>
      </c>
      <c r="B86" s="97" t="s">
        <v>62</v>
      </c>
      <c r="C86" s="104">
        <f>'TOTAL STOCK'!C86-'CLOSING STOCK'!C86</f>
        <v>0</v>
      </c>
      <c r="D86" s="105">
        <f>'TOTAL STOCK'!D86-'CLOSING STOCK'!D86</f>
        <v>0</v>
      </c>
      <c r="E86" s="104">
        <f>'TOTAL STOCK'!E86-'CLOSING STOCK'!E86</f>
        <v>0</v>
      </c>
      <c r="F86" s="106">
        <f>'TOTAL STOCK'!F86-'CLOSING STOCK'!F86</f>
        <v>0</v>
      </c>
      <c r="G86" s="107">
        <f>'TOTAL STOCK'!G86-'CLOSING STOCK'!G86</f>
        <v>0</v>
      </c>
      <c r="H86" s="105">
        <f>'TOTAL STOCK'!H86-'CLOSING STOCK'!H86</f>
        <v>26</v>
      </c>
      <c r="I86" s="104">
        <f>'TOTAL STOCK'!I86-'CLOSING STOCK'!I86</f>
        <v>0</v>
      </c>
      <c r="J86" s="106">
        <f>'TOTAL STOCK'!J86-'CLOSING STOCK'!J86</f>
        <v>0</v>
      </c>
      <c r="K86" s="202"/>
      <c r="L86" s="202"/>
      <c r="M86" s="77">
        <f t="shared" si="2"/>
        <v>4160</v>
      </c>
      <c r="N86" s="102">
        <v>160</v>
      </c>
      <c r="O86" s="19">
        <v>160</v>
      </c>
      <c r="P86" s="19">
        <v>160</v>
      </c>
      <c r="Q86" s="1">
        <v>160</v>
      </c>
      <c r="R86" s="92"/>
    </row>
    <row r="87" spans="1:18" ht="22.95" customHeight="1" x14ac:dyDescent="0.3">
      <c r="A87" s="3">
        <v>13</v>
      </c>
      <c r="B87" s="97" t="s">
        <v>143</v>
      </c>
      <c r="C87" s="104">
        <f>'TOTAL STOCK'!C87-'CLOSING STOCK'!C87</f>
        <v>6</v>
      </c>
      <c r="D87" s="105">
        <f>'TOTAL STOCK'!D87-'CLOSING STOCK'!D87</f>
        <v>17</v>
      </c>
      <c r="E87" s="104">
        <f>'TOTAL STOCK'!E87-'CLOSING STOCK'!E87</f>
        <v>0</v>
      </c>
      <c r="F87" s="106">
        <f>'TOTAL STOCK'!F87-'CLOSING STOCK'!F87</f>
        <v>20</v>
      </c>
      <c r="G87" s="107">
        <f>'TOTAL STOCK'!G87-'CLOSING STOCK'!G87</f>
        <v>0</v>
      </c>
      <c r="H87" s="105">
        <f>'TOTAL STOCK'!H87-'CLOSING STOCK'!H87</f>
        <v>0</v>
      </c>
      <c r="I87" s="104">
        <f>'TOTAL STOCK'!I87-'CLOSING STOCK'!I87</f>
        <v>0</v>
      </c>
      <c r="J87" s="106">
        <f>'TOTAL STOCK'!J87-'CLOSING STOCK'!J87</f>
        <v>0</v>
      </c>
      <c r="K87" s="202"/>
      <c r="L87" s="202"/>
      <c r="M87" s="77">
        <f t="shared" si="2"/>
        <v>14860</v>
      </c>
      <c r="N87" s="102">
        <v>140</v>
      </c>
      <c r="O87" s="19">
        <v>120</v>
      </c>
      <c r="P87" s="19">
        <v>90</v>
      </c>
      <c r="Q87" s="1">
        <v>90</v>
      </c>
      <c r="R87" s="92"/>
    </row>
    <row r="88" spans="1:18" ht="22.95" customHeight="1" x14ac:dyDescent="0.3">
      <c r="A88" s="3">
        <v>14</v>
      </c>
      <c r="B88" s="97" t="s">
        <v>63</v>
      </c>
      <c r="C88" s="104">
        <f>'TOTAL STOCK'!C88-'CLOSING STOCK'!C88</f>
        <v>0</v>
      </c>
      <c r="D88" s="105">
        <f>'TOTAL STOCK'!D88-'CLOSING STOCK'!D88</f>
        <v>0</v>
      </c>
      <c r="E88" s="104">
        <f>'TOTAL STOCK'!E88-'CLOSING STOCK'!E88</f>
        <v>0</v>
      </c>
      <c r="F88" s="106">
        <f>'TOTAL STOCK'!F88-'CLOSING STOCK'!F88</f>
        <v>0</v>
      </c>
      <c r="G88" s="107">
        <f>'TOTAL STOCK'!G88-'CLOSING STOCK'!G88</f>
        <v>0</v>
      </c>
      <c r="H88" s="105">
        <f>'TOTAL STOCK'!H88-'CLOSING STOCK'!H88</f>
        <v>0</v>
      </c>
      <c r="I88" s="104">
        <f>'TOTAL STOCK'!I88-'CLOSING STOCK'!I88</f>
        <v>0</v>
      </c>
      <c r="J88" s="106">
        <f>'TOTAL STOCK'!J88-'CLOSING STOCK'!J88</f>
        <v>0</v>
      </c>
      <c r="K88" s="202"/>
      <c r="L88" s="202"/>
      <c r="M88" s="77">
        <f t="shared" si="2"/>
        <v>0</v>
      </c>
      <c r="N88" s="102">
        <v>220</v>
      </c>
      <c r="O88" s="19">
        <v>160</v>
      </c>
      <c r="P88" s="19">
        <v>120</v>
      </c>
      <c r="Q88" s="1">
        <v>130</v>
      </c>
      <c r="R88" s="92"/>
    </row>
    <row r="89" spans="1:18" ht="22.95" customHeight="1" x14ac:dyDescent="0.3">
      <c r="A89" s="3">
        <v>15</v>
      </c>
      <c r="B89" s="68" t="s">
        <v>122</v>
      </c>
      <c r="C89" s="104">
        <f>'TOTAL STOCK'!C89-'CLOSING STOCK'!C89</f>
        <v>10</v>
      </c>
      <c r="D89" s="105">
        <f>'TOTAL STOCK'!D89-'CLOSING STOCK'!D89</f>
        <v>-14</v>
      </c>
      <c r="E89" s="104">
        <f>'TOTAL STOCK'!E89-'CLOSING STOCK'!E89</f>
        <v>1</v>
      </c>
      <c r="F89" s="106">
        <f>'TOTAL STOCK'!F89-'CLOSING STOCK'!F89</f>
        <v>-24</v>
      </c>
      <c r="G89" s="107">
        <f>'TOTAL STOCK'!G89-'CLOSING STOCK'!G89</f>
        <v>0</v>
      </c>
      <c r="H89" s="105">
        <f>'TOTAL STOCK'!H89-'CLOSING STOCK'!H89</f>
        <v>0</v>
      </c>
      <c r="I89" s="104">
        <f>'TOTAL STOCK'!I89-'CLOSING STOCK'!I89</f>
        <v>0</v>
      </c>
      <c r="J89" s="106">
        <f>'TOTAL STOCK'!J89-'CLOSING STOCK'!J89</f>
        <v>0</v>
      </c>
      <c r="K89" s="202"/>
      <c r="L89" s="202"/>
      <c r="M89" s="77">
        <f t="shared" si="2"/>
        <v>29680</v>
      </c>
      <c r="N89" s="102">
        <v>280</v>
      </c>
      <c r="O89" s="19">
        <v>210</v>
      </c>
      <c r="P89" s="19">
        <v>140</v>
      </c>
      <c r="Q89" s="1">
        <v>140</v>
      </c>
      <c r="R89" s="92"/>
    </row>
    <row r="90" spans="1:18" ht="22.95" customHeight="1" x14ac:dyDescent="0.3">
      <c r="A90" s="3">
        <v>16</v>
      </c>
      <c r="B90" s="201" t="s">
        <v>152</v>
      </c>
      <c r="C90" s="104">
        <f>'TOTAL STOCK'!C90-'CLOSING STOCK'!C90</f>
        <v>5</v>
      </c>
      <c r="D90" s="105">
        <f>'TOTAL STOCK'!D90-'CLOSING STOCK'!D90</f>
        <v>0</v>
      </c>
      <c r="E90" s="104">
        <f>'TOTAL STOCK'!E90-'CLOSING STOCK'!E90</f>
        <v>0</v>
      </c>
      <c r="F90" s="106">
        <f>'TOTAL STOCK'!F90-'CLOSING STOCK'!F90</f>
        <v>0</v>
      </c>
      <c r="G90" s="107">
        <f>'TOTAL STOCK'!G90-'CLOSING STOCK'!G90</f>
        <v>0</v>
      </c>
      <c r="H90" s="105">
        <f>'TOTAL STOCK'!H90-'CLOSING STOCK'!H90</f>
        <v>0</v>
      </c>
      <c r="I90" s="104">
        <f>'TOTAL STOCK'!I90-'CLOSING STOCK'!I90</f>
        <v>0</v>
      </c>
      <c r="J90" s="106">
        <f>'TOTAL STOCK'!J90-'CLOSING STOCK'!J90</f>
        <v>0</v>
      </c>
      <c r="K90" s="202"/>
      <c r="L90" s="202"/>
      <c r="M90" s="77">
        <f t="shared" si="2"/>
        <v>7800</v>
      </c>
      <c r="N90" s="102">
        <v>130</v>
      </c>
      <c r="O90" s="19">
        <v>120</v>
      </c>
      <c r="P90" s="19">
        <v>120</v>
      </c>
      <c r="Q90" s="1">
        <v>120</v>
      </c>
      <c r="R90" s="92"/>
    </row>
    <row r="91" spans="1:18" ht="22.95" customHeight="1" x14ac:dyDescent="0.3">
      <c r="A91" s="3">
        <v>17</v>
      </c>
      <c r="B91" s="68" t="s">
        <v>133</v>
      </c>
      <c r="C91" s="104">
        <f>'TOTAL STOCK'!C91-'CLOSING STOCK'!C91</f>
        <v>0</v>
      </c>
      <c r="D91" s="105">
        <f>'TOTAL STOCK'!D91-'CLOSING STOCK'!D91</f>
        <v>0</v>
      </c>
      <c r="E91" s="104">
        <f>'TOTAL STOCK'!E91-'CLOSING STOCK'!E91</f>
        <v>0</v>
      </c>
      <c r="F91" s="106">
        <f>'TOTAL STOCK'!F91-'CLOSING STOCK'!F91</f>
        <v>0</v>
      </c>
      <c r="G91" s="107">
        <f>'TOTAL STOCK'!G91-'CLOSING STOCK'!G91</f>
        <v>0</v>
      </c>
      <c r="H91" s="105">
        <f>'TOTAL STOCK'!H91-'CLOSING STOCK'!H91</f>
        <v>0</v>
      </c>
      <c r="I91" s="104">
        <f>'TOTAL STOCK'!I91-'CLOSING STOCK'!I91</f>
        <v>0</v>
      </c>
      <c r="J91" s="106">
        <f>'TOTAL STOCK'!J91-'CLOSING STOCK'!J91</f>
        <v>0</v>
      </c>
      <c r="K91" s="202"/>
      <c r="L91" s="202"/>
      <c r="M91" s="77">
        <f t="shared" si="2"/>
        <v>0</v>
      </c>
      <c r="N91" s="102">
        <v>200</v>
      </c>
      <c r="O91" s="19">
        <v>150</v>
      </c>
      <c r="P91" s="19">
        <v>90</v>
      </c>
      <c r="Q91" s="1">
        <v>90</v>
      </c>
      <c r="R91" s="92"/>
    </row>
    <row r="92" spans="1:18" ht="22.95" customHeight="1" x14ac:dyDescent="0.3">
      <c r="A92" s="3">
        <v>18</v>
      </c>
      <c r="B92" s="68" t="s">
        <v>137</v>
      </c>
      <c r="C92" s="104">
        <f>'TOTAL STOCK'!C92-'CLOSING STOCK'!C92</f>
        <v>0</v>
      </c>
      <c r="D92" s="105">
        <f>'TOTAL STOCK'!D92-'CLOSING STOCK'!D92</f>
        <v>0</v>
      </c>
      <c r="E92" s="104">
        <f>'TOTAL STOCK'!E92-'CLOSING STOCK'!E92</f>
        <v>0</v>
      </c>
      <c r="F92" s="106">
        <f>'TOTAL STOCK'!F92-'CLOSING STOCK'!F92</f>
        <v>0</v>
      </c>
      <c r="G92" s="107">
        <f>'TOTAL STOCK'!G92-'CLOSING STOCK'!G92</f>
        <v>0</v>
      </c>
      <c r="H92" s="105">
        <f>'TOTAL STOCK'!H92-'CLOSING STOCK'!H92</f>
        <v>0</v>
      </c>
      <c r="I92" s="104">
        <f>'TOTAL STOCK'!I92-'CLOSING STOCK'!I92</f>
        <v>0</v>
      </c>
      <c r="J92" s="106">
        <f>'TOTAL STOCK'!J92-'CLOSING STOCK'!J92</f>
        <v>0</v>
      </c>
      <c r="K92" s="202"/>
      <c r="L92" s="202"/>
      <c r="M92" s="77">
        <f t="shared" si="2"/>
        <v>0</v>
      </c>
      <c r="N92" s="102">
        <v>300</v>
      </c>
      <c r="O92" s="19">
        <v>220</v>
      </c>
      <c r="P92" s="19">
        <v>200</v>
      </c>
      <c r="Q92" s="1">
        <v>200</v>
      </c>
      <c r="R92" s="92"/>
    </row>
    <row r="93" spans="1:18" ht="22.95" customHeight="1" x14ac:dyDescent="0.3">
      <c r="A93" s="3">
        <v>19</v>
      </c>
      <c r="B93" s="68" t="s">
        <v>140</v>
      </c>
      <c r="C93" s="104">
        <f>'TOTAL STOCK'!C93-'CLOSING STOCK'!C93</f>
        <v>0</v>
      </c>
      <c r="D93" s="105">
        <f>'TOTAL STOCK'!D93-'CLOSING STOCK'!D93</f>
        <v>9</v>
      </c>
      <c r="E93" s="104">
        <f>'TOTAL STOCK'!E93-'CLOSING STOCK'!E93</f>
        <v>0</v>
      </c>
      <c r="F93" s="106">
        <f>'TOTAL STOCK'!F93-'CLOSING STOCK'!F93</f>
        <v>0</v>
      </c>
      <c r="G93" s="107">
        <f>'TOTAL STOCK'!G93-'CLOSING STOCK'!G93</f>
        <v>0</v>
      </c>
      <c r="H93" s="105">
        <f>'TOTAL STOCK'!H93-'CLOSING STOCK'!H93</f>
        <v>0</v>
      </c>
      <c r="I93" s="104">
        <f>'TOTAL STOCK'!I93-'CLOSING STOCK'!I93</f>
        <v>0</v>
      </c>
      <c r="J93" s="106">
        <f>'TOTAL STOCK'!J93-'CLOSING STOCK'!J93</f>
        <v>0</v>
      </c>
      <c r="K93" s="202"/>
      <c r="L93" s="202"/>
      <c r="M93" s="77">
        <f t="shared" si="2"/>
        <v>2520</v>
      </c>
      <c r="N93" s="102">
        <v>280</v>
      </c>
      <c r="O93" s="19">
        <v>215</v>
      </c>
      <c r="P93" s="19">
        <v>160</v>
      </c>
      <c r="Q93" s="1">
        <v>160</v>
      </c>
      <c r="R93" s="92"/>
    </row>
    <row r="94" spans="1:18" ht="22.95" customHeight="1" thickBot="1" x14ac:dyDescent="0.35">
      <c r="A94" s="41">
        <v>20</v>
      </c>
      <c r="B94" s="197"/>
      <c r="C94" s="108">
        <f>'TOTAL STOCK'!C94-'CLOSING STOCK'!C94</f>
        <v>0</v>
      </c>
      <c r="D94" s="109">
        <f>'TOTAL STOCK'!D94-'CLOSING STOCK'!D94</f>
        <v>0</v>
      </c>
      <c r="E94" s="108">
        <f>'TOTAL STOCK'!E94-'CLOSING STOCK'!E94</f>
        <v>0</v>
      </c>
      <c r="F94" s="110">
        <f>'TOTAL STOCK'!F94-'CLOSING STOCK'!F94</f>
        <v>0</v>
      </c>
      <c r="G94" s="111">
        <f>'TOTAL STOCK'!G94-'CLOSING STOCK'!G94</f>
        <v>0</v>
      </c>
      <c r="H94" s="109">
        <f>'TOTAL STOCK'!H94-'CLOSING STOCK'!H94</f>
        <v>0</v>
      </c>
      <c r="I94" s="108">
        <f>'TOTAL STOCK'!I94-'CLOSING STOCK'!I94</f>
        <v>0</v>
      </c>
      <c r="J94" s="110">
        <f>'TOTAL STOCK'!J94-'CLOSING STOCK'!J94</f>
        <v>0</v>
      </c>
      <c r="K94" s="202"/>
      <c r="L94" s="202"/>
      <c r="M94" s="77">
        <f t="shared" si="2"/>
        <v>0</v>
      </c>
      <c r="N94" s="103"/>
      <c r="O94" s="71"/>
      <c r="P94" s="71"/>
      <c r="Q94" s="49"/>
      <c r="R94" s="92"/>
    </row>
    <row r="95" spans="1:18" ht="22.95" customHeight="1" thickBot="1" x14ac:dyDescent="0.35">
      <c r="A95" s="218" t="s">
        <v>17</v>
      </c>
      <c r="B95" s="219"/>
      <c r="C95" s="222" t="s">
        <v>84</v>
      </c>
      <c r="D95" s="222"/>
      <c r="E95" s="222"/>
      <c r="F95" s="222"/>
      <c r="G95" s="222"/>
      <c r="H95" s="222"/>
      <c r="I95" s="222"/>
      <c r="J95" s="223"/>
      <c r="K95" s="205"/>
      <c r="L95" s="202"/>
      <c r="M95" s="77"/>
      <c r="N95" s="207" t="s">
        <v>95</v>
      </c>
      <c r="O95" s="208"/>
      <c r="P95" s="208"/>
      <c r="Q95" s="209"/>
      <c r="R95" s="44"/>
    </row>
    <row r="96" spans="1:18" ht="22.95" customHeight="1" x14ac:dyDescent="0.3">
      <c r="A96" s="220"/>
      <c r="B96" s="221"/>
      <c r="C96" s="224" t="s">
        <v>18</v>
      </c>
      <c r="D96" s="225"/>
      <c r="E96" s="224" t="s">
        <v>19</v>
      </c>
      <c r="F96" s="226"/>
      <c r="G96" s="227" t="s">
        <v>72</v>
      </c>
      <c r="H96" s="225"/>
      <c r="I96" s="224" t="s">
        <v>20</v>
      </c>
      <c r="J96" s="226"/>
      <c r="K96" s="202"/>
      <c r="L96" s="202"/>
      <c r="M96" s="77"/>
      <c r="N96" s="18" t="s">
        <v>18</v>
      </c>
      <c r="O96" s="70" t="s">
        <v>19</v>
      </c>
      <c r="P96" s="70" t="s">
        <v>88</v>
      </c>
      <c r="Q96" s="17" t="s">
        <v>89</v>
      </c>
      <c r="R96" s="92"/>
    </row>
    <row r="97" spans="1:18" ht="22.95" customHeight="1" x14ac:dyDescent="0.3">
      <c r="A97" s="37" t="s">
        <v>9</v>
      </c>
      <c r="B97" s="38" t="s">
        <v>13</v>
      </c>
      <c r="C97" s="5" t="s">
        <v>71</v>
      </c>
      <c r="D97" s="8" t="s">
        <v>3</v>
      </c>
      <c r="E97" s="5" t="s">
        <v>2</v>
      </c>
      <c r="F97" s="6" t="s">
        <v>3</v>
      </c>
      <c r="G97" s="7" t="s">
        <v>10</v>
      </c>
      <c r="H97" s="8" t="s">
        <v>3</v>
      </c>
      <c r="I97" s="5" t="s">
        <v>70</v>
      </c>
      <c r="J97" s="6" t="s">
        <v>3</v>
      </c>
      <c r="K97" s="202"/>
      <c r="L97" s="202"/>
      <c r="M97" s="77"/>
      <c r="N97" s="5" t="s">
        <v>94</v>
      </c>
      <c r="O97" s="69" t="s">
        <v>94</v>
      </c>
      <c r="P97" s="69" t="s">
        <v>94</v>
      </c>
      <c r="Q97" s="6" t="s">
        <v>94</v>
      </c>
      <c r="R97" s="92"/>
    </row>
    <row r="98" spans="1:18" ht="22.95" customHeight="1" x14ac:dyDescent="0.3">
      <c r="A98" s="3">
        <v>1</v>
      </c>
      <c r="B98" s="101" t="s">
        <v>73</v>
      </c>
      <c r="C98" s="104">
        <f>'TOTAL STOCK'!C98-'CLOSING STOCK'!C98</f>
        <v>0</v>
      </c>
      <c r="D98" s="105">
        <f>'TOTAL STOCK'!D98-'CLOSING STOCK'!D98</f>
        <v>0</v>
      </c>
      <c r="E98" s="104">
        <f>'TOTAL STOCK'!E98-'CLOSING STOCK'!E98</f>
        <v>0</v>
      </c>
      <c r="F98" s="106">
        <f>'TOTAL STOCK'!F98-'CLOSING STOCK'!F98</f>
        <v>0</v>
      </c>
      <c r="G98" s="107">
        <f>'TOTAL STOCK'!G98-'CLOSING STOCK'!G98</f>
        <v>4</v>
      </c>
      <c r="H98" s="105">
        <f>'TOTAL STOCK'!H98-'CLOSING STOCK'!H98</f>
        <v>48</v>
      </c>
      <c r="I98" s="104">
        <f>'TOTAL STOCK'!I98-'CLOSING STOCK'!I98</f>
        <v>7</v>
      </c>
      <c r="J98" s="106">
        <f>'TOTAL STOCK'!J98-'CLOSING STOCK'!J98</f>
        <v>-5</v>
      </c>
      <c r="K98" s="202"/>
      <c r="L98" s="202"/>
      <c r="M98" s="77">
        <f>(C98*9*N98)+(D98*N98)+(E98*12*O98)+(F98*O98)+(G98*24*P98)+(H98*P98)+(I98*30*Q98)+(J98*Q98)+(K98*25*R98)+(L98*R98)</f>
        <v>9860</v>
      </c>
      <c r="N98" s="102">
        <v>80</v>
      </c>
      <c r="O98" s="19">
        <v>45</v>
      </c>
      <c r="P98" s="19">
        <v>40</v>
      </c>
      <c r="Q98" s="1">
        <v>20</v>
      </c>
      <c r="R98" s="92"/>
    </row>
    <row r="99" spans="1:18" ht="22.95" customHeight="1" x14ac:dyDescent="0.3">
      <c r="A99" s="3">
        <v>2</v>
      </c>
      <c r="B99" s="100" t="s">
        <v>127</v>
      </c>
      <c r="C99" s="104">
        <f>'TOTAL STOCK'!C99-'CLOSING STOCK'!C99</f>
        <v>0</v>
      </c>
      <c r="D99" s="105">
        <f>'TOTAL STOCK'!D99-'CLOSING STOCK'!D99</f>
        <v>0</v>
      </c>
      <c r="E99" s="104">
        <f>'TOTAL STOCK'!E99-'CLOSING STOCK'!E99</f>
        <v>0</v>
      </c>
      <c r="F99" s="106">
        <f>'TOTAL STOCK'!F99-'CLOSING STOCK'!F99</f>
        <v>0</v>
      </c>
      <c r="G99" s="107">
        <f>'TOTAL STOCK'!G99-'CLOSING STOCK'!G99</f>
        <v>7</v>
      </c>
      <c r="H99" s="105">
        <f>'TOTAL STOCK'!H99-'CLOSING STOCK'!H99</f>
        <v>5</v>
      </c>
      <c r="I99" s="104">
        <f>'TOTAL STOCK'!I99-'CLOSING STOCK'!I99</f>
        <v>1</v>
      </c>
      <c r="J99" s="106">
        <f>'TOTAL STOCK'!J99-'CLOSING STOCK'!J99</f>
        <v>-5</v>
      </c>
      <c r="K99" s="202"/>
      <c r="L99" s="202"/>
      <c r="M99" s="77">
        <f>(C99*9*N99)+(D99*N99)+(E99*12*O99)+(F99*O99)+(G99*12*P99)+(H99*P99)+(I99*24*Q99)+(J99*Q99)+(K99*25*R99)+(L99*R99)</f>
        <v>4060</v>
      </c>
      <c r="N99" s="102"/>
      <c r="O99" s="19"/>
      <c r="P99" s="19">
        <v>20</v>
      </c>
      <c r="Q99" s="1">
        <v>120</v>
      </c>
      <c r="R99" s="92"/>
    </row>
    <row r="100" spans="1:18" ht="22.95" customHeight="1" thickBot="1" x14ac:dyDescent="0.35">
      <c r="A100" s="41">
        <v>3</v>
      </c>
      <c r="B100" s="99" t="s">
        <v>64</v>
      </c>
      <c r="C100" s="108">
        <f>'TOTAL STOCK'!C100-'CLOSING STOCK'!C100</f>
        <v>9</v>
      </c>
      <c r="D100" s="109">
        <f>'TOTAL STOCK'!D100-'CLOSING STOCK'!D100</f>
        <v>0</v>
      </c>
      <c r="E100" s="108">
        <f>'TOTAL STOCK'!E100-'CLOSING STOCK'!E100</f>
        <v>68</v>
      </c>
      <c r="F100" s="110">
        <f>'TOTAL STOCK'!F100-'CLOSING STOCK'!F100</f>
        <v>-1</v>
      </c>
      <c r="G100" s="111">
        <f>'TOTAL STOCK'!G100-'CLOSING STOCK'!G100</f>
        <v>25</v>
      </c>
      <c r="H100" s="109">
        <f>'TOTAL STOCK'!H100-'CLOSING STOCK'!H100</f>
        <v>71</v>
      </c>
      <c r="I100" s="108">
        <f>'TOTAL STOCK'!I100-'CLOSING STOCK'!I100</f>
        <v>0</v>
      </c>
      <c r="J100" s="110">
        <f>'TOTAL STOCK'!J100-'CLOSING STOCK'!J100</f>
        <v>0</v>
      </c>
      <c r="K100" s="206"/>
      <c r="L100" s="206"/>
      <c r="M100" s="78">
        <f t="shared" ref="M100" si="3">(C100*9*N100)+(D100*N100)+(E100*12*O100)+(F100*O100)+(G100*24*P100)+(H100*P100)+(I100*30*Q100)+(J100*Q100)+(K100*25*R100)+(L100*R100)</f>
        <v>25845</v>
      </c>
      <c r="N100" s="103">
        <v>35</v>
      </c>
      <c r="O100" s="71">
        <v>20</v>
      </c>
      <c r="P100" s="71">
        <v>10</v>
      </c>
      <c r="Q100" s="49"/>
      <c r="R100" s="93"/>
    </row>
    <row r="101" spans="1:18" ht="33" customHeight="1" thickBot="1" x14ac:dyDescent="0.35">
      <c r="M101" s="79">
        <f>SUM(M4:M100)</f>
        <v>1109735</v>
      </c>
      <c r="P101" s="202"/>
      <c r="Q101" s="202"/>
      <c r="R101" s="202"/>
    </row>
  </sheetData>
  <sheetProtection selectLockedCells="1"/>
  <mergeCells count="33">
    <mergeCell ref="A1:B2"/>
    <mergeCell ref="C1:L1"/>
    <mergeCell ref="C2:D2"/>
    <mergeCell ref="E2:F2"/>
    <mergeCell ref="G2:H2"/>
    <mergeCell ref="I2:J2"/>
    <mergeCell ref="K2:L2"/>
    <mergeCell ref="A51:B52"/>
    <mergeCell ref="C51:L51"/>
    <mergeCell ref="C52:D52"/>
    <mergeCell ref="E52:F52"/>
    <mergeCell ref="G52:H52"/>
    <mergeCell ref="I52:J52"/>
    <mergeCell ref="K52:L52"/>
    <mergeCell ref="A72:B73"/>
    <mergeCell ref="C72:J72"/>
    <mergeCell ref="C73:D73"/>
    <mergeCell ref="E73:F73"/>
    <mergeCell ref="G73:H73"/>
    <mergeCell ref="I73:J73"/>
    <mergeCell ref="A95:B96"/>
    <mergeCell ref="C95:J95"/>
    <mergeCell ref="C96:D96"/>
    <mergeCell ref="E96:F96"/>
    <mergeCell ref="G96:H96"/>
    <mergeCell ref="I96:J96"/>
    <mergeCell ref="P101:R101"/>
    <mergeCell ref="M1:M3"/>
    <mergeCell ref="K72:L100"/>
    <mergeCell ref="N95:Q95"/>
    <mergeCell ref="N1:R1"/>
    <mergeCell ref="N51:R51"/>
    <mergeCell ref="N72:Q72"/>
  </mergeCells>
  <pageMargins left="0.75" right="0.75" top="1" bottom="1" header="0.5" footer="0.5"/>
  <pageSetup orientation="portrait" horizontalDpi="360" verticalDpi="360" r:id="rId1"/>
  <ignoredErrors>
    <ignoredError sqref="M9 M99 M85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10"/>
  <sheetViews>
    <sheetView zoomScaleNormal="100" zoomScalePageLayoutView="125" workbookViewId="0">
      <selection activeCell="C4" sqref="C4"/>
    </sheetView>
  </sheetViews>
  <sheetFormatPr defaultColWidth="10.69921875" defaultRowHeight="15.6" x14ac:dyDescent="0.3"/>
  <cols>
    <col min="2" max="2" width="21.69921875" customWidth="1"/>
    <col min="3" max="3" width="15.19921875" customWidth="1"/>
  </cols>
  <sheetData>
    <row r="1" spans="1:3" ht="28.2" customHeight="1" x14ac:dyDescent="0.3">
      <c r="A1" s="80" t="s">
        <v>90</v>
      </c>
      <c r="B1" s="81" t="s">
        <v>91</v>
      </c>
      <c r="C1" s="82" t="s">
        <v>92</v>
      </c>
    </row>
    <row r="2" spans="1:3" ht="28.2" customHeight="1" x14ac:dyDescent="0.3">
      <c r="A2" s="22"/>
      <c r="B2" s="24"/>
      <c r="C2" s="23">
        <v>147440</v>
      </c>
    </row>
    <row r="3" spans="1:3" ht="28.2" customHeight="1" x14ac:dyDescent="0.3">
      <c r="A3" s="22"/>
      <c r="B3" s="24"/>
      <c r="C3" s="23"/>
    </row>
    <row r="4" spans="1:3" ht="28.2" customHeight="1" x14ac:dyDescent="0.3">
      <c r="A4" s="22"/>
      <c r="B4" s="24"/>
      <c r="C4" s="23"/>
    </row>
    <row r="5" spans="1:3" ht="28.2" customHeight="1" x14ac:dyDescent="0.3">
      <c r="A5" s="22"/>
      <c r="B5" s="24"/>
      <c r="C5" s="23"/>
    </row>
    <row r="6" spans="1:3" ht="28.2" customHeight="1" x14ac:dyDescent="0.3">
      <c r="A6" s="22"/>
      <c r="B6" s="24"/>
      <c r="C6" s="23"/>
    </row>
    <row r="7" spans="1:3" ht="28.2" customHeight="1" x14ac:dyDescent="0.3">
      <c r="A7" s="22"/>
      <c r="B7" s="24"/>
      <c r="C7" s="23"/>
    </row>
    <row r="8" spans="1:3" ht="28.2" customHeight="1" x14ac:dyDescent="0.3">
      <c r="A8" s="22"/>
      <c r="B8" s="24"/>
      <c r="C8" s="23"/>
    </row>
    <row r="9" spans="1:3" ht="28.2" customHeight="1" thickBot="1" x14ac:dyDescent="0.35">
      <c r="A9" s="22"/>
      <c r="B9" s="24"/>
      <c r="C9" s="54"/>
    </row>
    <row r="10" spans="1:3" ht="28.2" customHeight="1" thickBot="1" x14ac:dyDescent="0.35">
      <c r="A10" s="83"/>
      <c r="B10" s="84" t="s">
        <v>93</v>
      </c>
      <c r="C10" s="85">
        <f>SUM(C2:C9)</f>
        <v>147440</v>
      </c>
    </row>
  </sheetData>
  <sheetProtection selectLockedCells="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OPENING STOCK</vt:lpstr>
      <vt:lpstr>RECIEPTS</vt:lpstr>
      <vt:lpstr>TOTAL STOCK</vt:lpstr>
      <vt:lpstr>CLOSING STOCK</vt:lpstr>
      <vt:lpstr>SALES &amp; RATE</vt:lpstr>
      <vt:lpstr>EXPENDITURE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vinodm02@outlook.com</cp:lastModifiedBy>
  <cp:lastPrinted>2020-09-10T08:28:20Z</cp:lastPrinted>
  <dcterms:created xsi:type="dcterms:W3CDTF">2020-09-07T11:42:19Z</dcterms:created>
  <dcterms:modified xsi:type="dcterms:W3CDTF">2026-04-11T06:20:50Z</dcterms:modified>
</cp:coreProperties>
</file>